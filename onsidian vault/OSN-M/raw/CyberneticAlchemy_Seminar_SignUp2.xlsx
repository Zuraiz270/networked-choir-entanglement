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gn-Up" sheetId="1" r:id="rId4"/>
    <sheet state="visible" name="Session Planner" sheetId="2" r:id="rId5"/>
    <sheet state="visible" name="Student Profiles" sheetId="3" r:id="rId6"/>
    <sheet state="visible" name="Tool Guide" sheetId="4" r:id="rId7"/>
  </sheets>
  <definedNames/>
  <calcPr/>
  <extLst>
    <ext uri="GoogleSheetsCustomDataVersion2">
      <go:sheetsCustomData xmlns:go="http://customooxmlschemas.google.com/" r:id="rId8" roundtripDataChecksum="hKKKx71E+uc1IzL1ueoF8vZarwMuE/Id8iGP7B++mpk="/>
    </ext>
  </extLst>
</workbook>
</file>

<file path=xl/sharedStrings.xml><?xml version="1.0" encoding="utf-8"?>
<sst xmlns="http://schemas.openxmlformats.org/spreadsheetml/2006/main" count="618" uniqueCount="377">
  <si>
    <t>Cybernetic Alchemy — COINs Block Seminar Sign-Up  |  Peter A. Gloor</t>
  </si>
  <si>
    <t>Day 1: April 15, 2026  |  10:00–17:00 CET  (Bamberg · Cologne · HSLU)       Day 2: April 16, 2026  |  10:00–14:00 CET  ·  Virtual Status 14:00–15:00 CET</t>
  </si>
  <si>
    <t>Teams of 2 (most chapters) or 3 (flagged chapters)  •  Fill in your name and email ONLY in the yellow columns G–L  •  First come, first served  •  Swaps require instructor approval</t>
  </si>
  <si>
    <t>Part</t>
  </si>
  <si>
    <t>Ch</t>
  </si>
  <si>
    <t>Chapter Title</t>
  </si>
  <si>
    <t>Core Theme</t>
  </si>
  <si>
    <t>Team
Size</t>
  </si>
  <si>
    <t>Day &amp; Time</t>
  </si>
  <si>
    <t>Primary
Tool</t>
  </si>
  <si>
    <t>Student 1
Name</t>
  </si>
  <si>
    <t>Student 1
Email</t>
  </si>
  <si>
    <t>Student 2
Name</t>
  </si>
  <si>
    <t>Student 2
Email</t>
  </si>
  <si>
    <t>Student 3
Name
(trios only)</t>
  </si>
  <si>
    <t>Student 3
Email
(trios only)</t>
  </si>
  <si>
    <t>Pres.
Date</t>
  </si>
  <si>
    <t>Status</t>
  </si>
  <si>
    <t>Part I: The Physician</t>
  </si>
  <si>
    <t>The Bonfire at Basel</t>
  </si>
  <si>
    <t>Paracelsus as the first honest-signal scientist</t>
  </si>
  <si>
    <t>Day 1 — April 15
10:30–11:05</t>
  </si>
  <si>
    <t>Symbiont</t>
  </si>
  <si>
    <t>Thomas Bröse</t>
  </si>
  <si>
    <t>tbroese@smail.uni-koeln.de</t>
  </si>
  <si>
    <t>Simona Kals</t>
  </si>
  <si>
    <t>skals@smail.uni-koeln.de</t>
  </si>
  <si>
    <t>April 15</t>
  </si>
  <si>
    <t>Open</t>
  </si>
  <si>
    <t>One Breath, One Harmony</t>
  </si>
  <si>
    <t>Dose-makes-the-team and the microcosm/macrocosm</t>
  </si>
  <si>
    <t>Day 1 — April 15
11:05–11:40</t>
  </si>
  <si>
    <t>Beecome</t>
  </si>
  <si>
    <t>Daniel Schumacher</t>
  </si>
  <si>
    <t>dschuma7@smail.uni-koeln.de</t>
  </si>
  <si>
    <t>Timo Ercole</t>
  </si>
  <si>
    <t>tercole@smail.uni-koeln.de</t>
  </si>
  <si>
    <t>The Book of Nature</t>
  </si>
  <si>
    <t>Reading signals before you had instruments</t>
  </si>
  <si>
    <t>Day 1 — April 15
11:40–12:15</t>
  </si>
  <si>
    <t>Perceptiface</t>
  </si>
  <si>
    <t>Michael Sova</t>
  </si>
  <si>
    <t>msova@smail.uni-koeln.de</t>
  </si>
  <si>
    <t>Yannick Herrmann</t>
  </si>
  <si>
    <t>yherrma1@smail.uni-koeln.de</t>
  </si>
  <si>
    <t>Part II: The Brotherhood</t>
  </si>
  <si>
    <t>The Fiction That Shook Europe</t>
  </si>
  <si>
    <t>How a pamphlet became a movement</t>
  </si>
  <si>
    <t>Day 1 — April 15
12:15–12:50</t>
  </si>
  <si>
    <t>Leander Kilian</t>
  </si>
  <si>
    <t>lkilian4@smail.uni-koeln.de</t>
  </si>
  <si>
    <t xml:space="preserve">Laurin Strobel </t>
  </si>
  <si>
    <t>lstrobe4@smail.uni-koeln.de</t>
  </si>
  <si>
    <t>Robin Steiert</t>
  </si>
  <si>
    <t>rsteiert@smail.uni-koeln.de</t>
  </si>
  <si>
    <t>The Moral Filter</t>
  </si>
  <si>
    <t>Adept vs. puffer — the ethics of honest signals</t>
  </si>
  <si>
    <t>Day 1 — April 15
13:50–14:25</t>
  </si>
  <si>
    <t xml:space="preserve">Nils Bringewatt </t>
  </si>
  <si>
    <t>nbringew@smail.uni-koeln.de</t>
  </si>
  <si>
    <t>Jakob Jetter</t>
  </si>
  <si>
    <t>jjetter@smail.uni-koeln.de</t>
  </si>
  <si>
    <t>The Puffers</t>
  </si>
  <si>
    <t>Hype cycles from 1614 to today</t>
  </si>
  <si>
    <t>Day 1 — April 15
14:25–15:00</t>
  </si>
  <si>
    <t>SC Chat Analyzer</t>
  </si>
  <si>
    <t>Julius Schneider</t>
  </si>
  <si>
    <t>jschne78@smail.uni-koeln.de</t>
  </si>
  <si>
    <t xml:space="preserve">Philipp Brenner </t>
  </si>
  <si>
    <t>pbrenne2@smail.uni-koeln.de</t>
  </si>
  <si>
    <t>Torben Knetschowsky</t>
  </si>
  <si>
    <t>tknetsch@smail.uni-koeln.de</t>
  </si>
  <si>
    <t>The Invisible College</t>
  </si>
  <si>
    <t>COINs as Rosicrucian structure</t>
  </si>
  <si>
    <t>Day 1 — April 15
15:00–15:35</t>
  </si>
  <si>
    <t>Christian Sahler</t>
  </si>
  <si>
    <t>csahler1@smail.uni-koeln.de</t>
  </si>
  <si>
    <t>Mengyang Li</t>
  </si>
  <si>
    <t>mengyang.li@stud.hslu.ch</t>
  </si>
  <si>
    <t>Part III: The Comedy Writer</t>
  </si>
  <si>
    <t>The Babel Fish Problem</t>
  </si>
  <si>
    <t>Why translation across species is hard</t>
  </si>
  <si>
    <t>Day 1 — April 15
15:50–16:25</t>
  </si>
  <si>
    <t>Sarah Löhnert</t>
  </si>
  <si>
    <t>sloehner@smail.uni-koeln.de</t>
  </si>
  <si>
    <t>Elisabeth Stein</t>
  </si>
  <si>
    <t>estein5@smail.uni-koeln.de</t>
  </si>
  <si>
    <t>The Mice Are Watching</t>
  </si>
  <si>
    <t>The inversion — who is really observing whom?</t>
  </si>
  <si>
    <t>Day 1 — April 15
16:25–17:00</t>
  </si>
  <si>
    <t>Yakup Kula</t>
  </si>
  <si>
    <t>ykula@smail.uni-koeln.de</t>
  </si>
  <si>
    <t>David Cheung</t>
  </si>
  <si>
    <t>dcheung@smail.uni-koeln.de</t>
  </si>
  <si>
    <t>Forty-Two</t>
  </si>
  <si>
    <t>Wrong questions at planetary scale</t>
  </si>
  <si>
    <t>Day 2 — April 16
10:00–10:30</t>
  </si>
  <si>
    <t>All four tools</t>
  </si>
  <si>
    <t>Marie-Luise Schweizer</t>
  </si>
  <si>
    <t>marie-luise.schweizer@stud.uni-bamberg.de</t>
  </si>
  <si>
    <t>Celina Julia Schwarz</t>
  </si>
  <si>
    <t>celina-julia.schwarz@stud.uni-bamberg.de</t>
  </si>
  <si>
    <t>April 16</t>
  </si>
  <si>
    <t>Part IV: The Mathematician</t>
  </si>
  <si>
    <t>Psychohistory Is Real</t>
  </si>
  <si>
    <t>Honest signals as predictive science</t>
  </si>
  <si>
    <t>Day 2 — April 16
10:30–11:00</t>
  </si>
  <si>
    <t>Martin Nikoljacic</t>
  </si>
  <si>
    <t>mnikolja@smail.uni-koeln.de</t>
  </si>
  <si>
    <t>Hendrik Mehl</t>
  </si>
  <si>
    <t>hmehl@smail.uni-koeln.de</t>
  </si>
  <si>
    <t>The Two Foundations</t>
  </si>
  <si>
    <t>Visible vs. invisible roles</t>
  </si>
  <si>
    <t>Day 2 — April 16
11:00–11:30</t>
  </si>
  <si>
    <t>Faryan Adib Basmenj</t>
  </si>
  <si>
    <t>faryan.adib-basmenj@stud.uni-bamberg.de</t>
  </si>
  <si>
    <t>Kasra Mohebian</t>
  </si>
  <si>
    <t>kasra.mohebian@stud.uni-bamberg.de</t>
  </si>
  <si>
    <t>The Planetary Qi</t>
  </si>
  <si>
    <t>Biosphere-scale honest signals</t>
  </si>
  <si>
    <t>Day 2 — April 16
11:30–12:00</t>
  </si>
  <si>
    <t>Kumaran Vasu</t>
  </si>
  <si>
    <t>kumaran.vasu@stud.uni-bamberg.de</t>
  </si>
  <si>
    <t>Part V: The Convergence</t>
  </si>
  <si>
    <t>Data as Prima Materia</t>
  </si>
  <si>
    <t>The alchemical stages in modern ML</t>
  </si>
  <si>
    <t>Day 2 — April 16
12:30–13:00</t>
  </si>
  <si>
    <t>--- Zuraiz</t>
  </si>
  <si>
    <t>zuraiz@stud.uni-bamberg.de</t>
  </si>
  <si>
    <t>Hammad Anwar</t>
  </si>
  <si>
    <t>hammad.anwar@stud.uni-bamberg.de</t>
  </si>
  <si>
    <t>Hassan Ahmed</t>
  </si>
  <si>
    <t>hassan.ahmed@stud.uni-bamberg.de</t>
  </si>
  <si>
    <t>Silent Signals</t>
  </si>
  <si>
    <t>Plant bioelectrics and human stress correlation</t>
  </si>
  <si>
    <t>Day 2 — April 16
13:00–13:30</t>
  </si>
  <si>
    <t>SC Chat Analyzer + Perceptiface</t>
  </si>
  <si>
    <t>Esmaeil Molapour</t>
  </si>
  <si>
    <t>esmaeil.molapour@stud.uni-bamberg.de</t>
  </si>
  <si>
    <t>Dew and Fire</t>
  </si>
  <si>
    <t>The neuroscience of eudaimonia</t>
  </si>
  <si>
    <t>Day 2 — April 16
13:30–14:00</t>
  </si>
  <si>
    <t>Symbiont + Beecome</t>
  </si>
  <si>
    <t>⚠  Columns A–G and N are instructor-managed. Students fill in H–M only. Trios: 3-person teams flagged in red in column E.</t>
  </si>
  <si>
    <t>Session Planner — Instructor View  |  April 15–16, 2026</t>
  </si>
  <si>
    <t>DAY 1 — April 15, 2026  |  10:00–17:00 CET  |  Chapters 1–9</t>
  </si>
  <si>
    <t>Time</t>
  </si>
  <si>
    <t>Tool</t>
  </si>
  <si>
    <t>Live Tool Prompt for Presenting Team</t>
  </si>
  <si>
    <t>Presenters (from Sign-Up)</t>
  </si>
  <si>
    <t>10:30–11:05</t>
  </si>
  <si>
    <t>2</t>
  </si>
  <si>
    <t>Present your own Symbiont archetype (from your WhatsApp export). Argue whether Paracelsus was a Butterfly, Bee, or something else — use your own profile as the reference point.</t>
  </si>
  <si>
    <t>11:05–11:40</t>
  </si>
  <si>
    <t>Show your team's two Beecome role results side by side. Is it a balanced microcosm? Where is the imbalance, and what does the chapter predict that means for the team?</t>
  </si>
  <si>
    <t>11:40–12:15</t>
  </si>
  <si>
    <t>Signatura Rerum live: share your Perceptiface dominant emotion and FFI prediction. What does your face signal that you were not aware of?</t>
  </si>
  <si>
    <t>12:15–12:50</t>
  </si>
  <si>
    <t>⚑ 3</t>
  </si>
  <si>
    <t>Map the Rosicrucian pamphlet's spread onto Symbiont archetypes. Which archetype drove the viral diffusion of the Fama? Show your own archetype as a reference point.</t>
  </si>
  <si>
    <t>— LUNCH  12:50–13:50 —</t>
  </si>
  <si>
    <t>13:50–14:25</t>
  </si>
  <si>
    <t>Which Symbiont archetype is structurally incapable of puffery? Defend your answer using your own profile — and the profiles of any teammates willing to share theirs.</t>
  </si>
  <si>
    <t>15:00–15:35</t>
  </si>
  <si>
    <t>Bring your SC Chat network graph from your WhatsApp export. Locate yourselves in the network. Who is the hub? Who is on the periphery? Does the structure match the chapter's description of a COIN?</t>
  </si>
  <si>
    <t>15:50–16:25</t>
  </si>
  <si>
    <t>Translation fails when emotional signals are misread. Show your Perceptiface emotion profile and FFI prediction. What did the model read that surprised you — and what is the Babel Fish moment in that gap?</t>
  </si>
  <si>
    <t>16:25–17:00</t>
  </si>
  <si>
    <t>The inversion: are you watching your team, or is your team watching you? Compare your self-perceived role with your Beecome output from the game. Where does the model disagree with you?</t>
  </si>
  <si>
    <t>DAY 2 — April 16, 2026  |  10:00–14:00 CET  |  Chapters 10–16  ·  Virtual Status 14:00–15:00</t>
  </si>
  <si>
    <t>10:00–10:30</t>
  </si>
  <si>
    <t>This is the meta-chapter. Your central discussion question: which of the four SocialCompass tools is asking the wrong question about you — and why? Use all four of your results as evidence.</t>
  </si>
  <si>
    <t>10:30–11:00</t>
  </si>
  <si>
    <t>Can your WhatsApp communication pattern predict your Symbiont archetype? Compare your SC Chat role (Star/Supporter/Observer/Loner) with your Symbiont archetype. Do they agree? What does the chapter predict they should do?</t>
  </si>
  <si>
    <t>11:00–11:30</t>
  </si>
  <si>
    <t>Visible role vs. invisible signal: what role do you formally play in a team vs. what your Beecome game result says you actually are? Make the gap between them your central discussion question.</t>
  </si>
  <si>
    <t>11:30–12:00</t>
  </si>
  <si>
    <t>12:30–13:00</t>
  </si>
  <si>
    <t>Apply the four alchemical stages (Nigredo → Albedo → Citrinitas → Rubedo) to the data pipeline of each SocialCompass tool. Where does raw signal become meaning? Use your own four results as the worked example.</t>
  </si>
  <si>
    <t>13:00–13:30</t>
  </si>
  <si>
    <t>Two channels, one signal: find the parallel between plant bioelectric output and your own below-threshold honest signals. Compare what SC Chat reveals (communication rhythm) with what Perceptiface reveals (facial micro-expression). Where do the two channels agree?</t>
  </si>
  <si>
    <t>13:30–14:00</t>
  </si>
  <si>
    <t>Close the loop on the entire seminar. What Symbiont/Beecome combination produces eudaimonia in a team? Use the full class profile (aggregated by the instructor) to answer — and argue whether this seminar cohort has that combination.</t>
  </si>
  <si>
    <t>SocialCompass Self-Analysis — Complete BEFORE the block course (both days)</t>
  </si>
  <si>
    <t>Run all four tools on yourself before April 15 and enter your results below. Your profile is your personal dataset — you will use it live during your team's presentation.</t>
  </si>
  <si>
    <t>IDENTITY</t>
  </si>
  <si>
    <t>🐝  SYMBIONT  (WhatsApp export)</t>
  </si>
  <si>
    <t>💬  SC CHAT ANALYZER  (WhatsApp export)</t>
  </si>
  <si>
    <t>😐  PERCEPTIFACE  (smartphone video)</t>
  </si>
  <si>
    <t>🎮  BEECOME  (swipe game)</t>
  </si>
  <si>
    <t>Name</t>
  </si>
  <si>
    <t>Email</t>
  </si>
  <si>
    <t>Ch #</t>
  </si>
  <si>
    <t>Archetype</t>
  </si>
  <si>
    <t>Top Word
Pattern</t>
  </si>
  <si>
    <t>Notes /
Surprises</t>
  </si>
  <si>
    <t>Date
Done</t>
  </si>
  <si>
    <t>Network
Role</t>
  </si>
  <si>
    <t>Avg Response
Latency</t>
  </si>
  <si>
    <t>Network
Position</t>
  </si>
  <si>
    <t>Notes</t>
  </si>
  <si>
    <t>Dominant
Emotion</t>
  </si>
  <si>
    <t>FFI
Prediction</t>
  </si>
  <si>
    <t>Beecome
Role</t>
  </si>
  <si>
    <t xml:space="preserve">Faryan Adib </t>
  </si>
  <si>
    <t>Capybara</t>
  </si>
  <si>
    <t>Done</t>
  </si>
  <si>
    <t>Tree Hugger, Fatherlander</t>
  </si>
  <si>
    <t>41% nerd, 82%ant, 79% conscious</t>
  </si>
  <si>
    <t>Neutral</t>
  </si>
  <si>
    <t>98% Neutral</t>
  </si>
  <si>
    <t xml:space="preserve">Intellect or Imagination 3.2/  Agreeableness 2.4/  Neuroticism 2.4/  Conscientiousness 1.6 
</t>
  </si>
  <si>
    <t>tknetsch@uni-koeln.de</t>
  </si>
  <si>
    <t>1.56 hours</t>
  </si>
  <si>
    <t>Tree Hugger</t>
  </si>
  <si>
    <t>78% ant, 86% conscious, 37% nerd​</t>
  </si>
  <si>
    <t>Extroverison</t>
  </si>
  <si>
    <t xml:space="preserve">High agreeableness and Conscientiousness
</t>
  </si>
  <si>
    <t>Philipp Brenner</t>
  </si>
  <si>
    <t>Resolves Conflicts (Surprise)</t>
  </si>
  <si>
    <t>58.12 min</t>
  </si>
  <si>
    <t>89% ant, 80% conscious, 44% nerd​</t>
  </si>
  <si>
    <t>Agreeableness and Extraversion</t>
  </si>
  <si>
    <t>Neutral (Surprise)</t>
  </si>
  <si>
    <t>Laurin Strobel</t>
  </si>
  <si>
    <t>Supporter</t>
  </si>
  <si>
    <t>Angry</t>
  </si>
  <si>
    <t xml:space="preserve">Suprise: Angry </t>
  </si>
  <si>
    <t>Connector</t>
  </si>
  <si>
    <t>2.17 hours</t>
  </si>
  <si>
    <t>Sad</t>
  </si>
  <si>
    <t>Neuroticism as second FFI Prediction</t>
  </si>
  <si>
    <t>2.89 hours</t>
  </si>
  <si>
    <t>All equal</t>
  </si>
  <si>
    <t>Agreeableness / Neuroticism</t>
  </si>
  <si>
    <t>n.a.</t>
  </si>
  <si>
    <t>Ant</t>
  </si>
  <si>
    <t>app crashed everytime before video could finish</t>
  </si>
  <si>
    <t>Agreeableness 4.0 / 4.0</t>
  </si>
  <si>
    <t>Project (from the group chat) was succesful eventhough almost every teammember was a Capybara</t>
  </si>
  <si>
    <t>4.84 hours</t>
  </si>
  <si>
    <t>Treehugger</t>
  </si>
  <si>
    <t>Neuroticism</t>
  </si>
  <si>
    <t>The analysis didn't work the first time, so I was already familiar with the videos, which probably influenced my reactions. The FFI Prediction does not fit to my expectations</t>
  </si>
  <si>
    <t>Intellect or Imagination/ Agreeableness - Fits better than the Perceptiface results</t>
  </si>
  <si>
    <t>everyone besides one person was a capybara</t>
  </si>
  <si>
    <t>1.27 hours</t>
  </si>
  <si>
    <t>37% treehugger, 88% conscious, 89% ant</t>
  </si>
  <si>
    <t>Neuroticism, Openness to Experience and Agreeableness</t>
  </si>
  <si>
    <t>Neutral at 27.54%, Angry at 27.42, Neuroticism at 100%</t>
  </si>
  <si>
    <t>Difference in Extraversion compared to Perceptiface</t>
  </si>
  <si>
    <t>app doesnt work</t>
  </si>
  <si>
    <t>Neuroticism, Extraversion and Openness to Experience</t>
  </si>
  <si>
    <t>Extraversion at 100%</t>
  </si>
  <si>
    <t>completely different values compared to perceptiface</t>
  </si>
  <si>
    <t>24.82 min</t>
  </si>
  <si>
    <t>Bigger sender</t>
  </si>
  <si>
    <t>Ant 76%, Conscious 70%, Nerd 39%</t>
  </si>
  <si>
    <t>High Agreeableness, Extraversion, Openness, and Neuroticism</t>
  </si>
  <si>
    <t>Neutral 23.74%; Sad 22.69%; Angry 21.66%. Surprise: Sad and Angry were also quite high</t>
  </si>
  <si>
    <t>High Conscientiousness, Extraversion, and Agreeableness; very low Openness and Neuroticism.</t>
  </si>
  <si>
    <t>Nils Bringewatt</t>
  </si>
  <si>
    <t>nbringew@smail.uni.koeln.de</t>
  </si>
  <si>
    <t>24,5 min</t>
  </si>
  <si>
    <t>Low Conscientiousness, Rest High</t>
  </si>
  <si>
    <t>Big Five prediction fairly accurate with expected results</t>
  </si>
  <si>
    <t>FFI diverges from perceptiface in two aspects</t>
  </si>
  <si>
    <t xml:space="preserve">German: "Ja", "Ich denke morgen ist auch das Wetter gut", "Ok, wann wäre es besser?"
English Translation: "Yes", "I think the weather will be good tomorrow too", "Ok, when would it be better?"
</t>
  </si>
  <si>
    <t>31% Capybara</t>
  </si>
  <si>
    <t>1.83 hours</t>
  </si>
  <si>
    <t>Nerd</t>
  </si>
  <si>
    <t>Collaboration Archetype: Ant 77%,
Values type: Nerd 40%
Personality Profile: High Conscientiousness, Medium Openess, Agreeableness, Low Extroversion and Zero Neuroticism
Bigger sender with 555 messages
81% conscious</t>
  </si>
  <si>
    <t xml:space="preserve">Neuroticism </t>
  </si>
  <si>
    <t>Dominant expression: Sad 18.47%, Neutral: 17.73%, Angry 16.87%; 
FFI prediction: Neuroticism at 100%, Agreeableness and Extraversion 50%;
Surprises: FFI prediction does not fit my expectations. I consider myself emotionally stable, not high in Neuroticism. The three dominant emotions were nearly equally distributed.</t>
  </si>
  <si>
    <t xml:space="preserve">FFI personality: Openness 1.6, Conscientiousness 4.0, Extraversion 0.7, Agreeableness 2.7, Neuroticism 0.8
Dospert risk profile: Social: 5.0, Recreational 0, Ethical 0, Financial 4.5, Health 6
Schwartz values profile: Selfdirection: 8, Universalism 8, Benevolence 8, remaining values 0
Surprises: Overall BEECOME is a better fit than PERCEPTIFACE, but low Openness and Extraversion surprised me. I would consider myself open and sociable and expected a slightly higher result. High Health risk was also unexpected, as I avoid risky health behaviors. Social and Financial risk seem slightly overestimated, Recreational risk underestimated compared to my self-perception.
</t>
  </si>
  <si>
    <t>50.9 min</t>
  </si>
  <si>
    <t>All High</t>
  </si>
  <si>
    <t>Neutral 11%, Angry 10%, Sad 8%</t>
  </si>
  <si>
    <t>High Agreeableness, Neuroticism and Conscientiousness</t>
  </si>
  <si>
    <t>Check the time table.</t>
  </si>
  <si>
    <t>38% Capybara &amp; 38% Ant</t>
  </si>
  <si>
    <t>16.55 min</t>
  </si>
  <si>
    <t>73% Ant, 44% Treehugger, 74% Conscious</t>
  </si>
  <si>
    <t xml:space="preserve">Openness to experience, high </t>
  </si>
  <si>
    <t>Dominant expression: Sad 22%</t>
  </si>
  <si>
    <t>High Agreeableness, and Conscientiousness</t>
  </si>
  <si>
    <t>Ok, I'll see.</t>
  </si>
  <si>
    <t>49% Capybara</t>
  </si>
  <si>
    <t>1.99 hours</t>
  </si>
  <si>
    <t>64% Ant, 44% Treehugger, 65% Conscious</t>
  </si>
  <si>
    <t>All moderate</t>
  </si>
  <si>
    <t>Dominant expression: Neutral 23%</t>
  </si>
  <si>
    <t>Openness 0.8, Conscientiousness 3.2, Extraversion 3.2, Agreeableness 3.2.                        "</t>
  </si>
  <si>
    <t>When will the classes start?</t>
  </si>
  <si>
    <t>40% Ant</t>
  </si>
  <si>
    <t>20.85 min</t>
  </si>
  <si>
    <t>63% Ant, 44% Treehugger, 70% Conscious</t>
  </si>
  <si>
    <t>Happy</t>
  </si>
  <si>
    <t>Dominant expression: Hsppy 20%</t>
  </si>
  <si>
    <t>&lt; Agreeableness &amp; &gt;risk tolerance</t>
  </si>
  <si>
    <t>57.72 min</t>
  </si>
  <si>
    <t>Ant 80%</t>
  </si>
  <si>
    <t>Neuroticism,openness to Experience,Low conscientiousness</t>
  </si>
  <si>
    <t>High Openness and aggreableness</t>
  </si>
  <si>
    <t>Every group member has the same profile</t>
  </si>
  <si>
    <t>High Agreeableness, Extraversion, Openness, and less Neuroticism and Conscientiousness</t>
  </si>
  <si>
    <t>Sad 14,8%; Happy 14,7%; Fearful 13,7%; Angry 8,2%
Surprised that I was less Conscientiousness</t>
  </si>
  <si>
    <t>Agreeableness &gt; Conscientiousness &gt; Neuroticism</t>
  </si>
  <si>
    <t>24.73 min</t>
  </si>
  <si>
    <t>73% conscious, 46% Nerd, 84% Ant</t>
  </si>
  <si>
    <t>Surprise: Angry</t>
  </si>
  <si>
    <t>High Agreeableness and Conscientiousness</t>
  </si>
  <si>
    <t>Everyone is always a capybara</t>
  </si>
  <si>
    <t>All high, Concientiousness low</t>
  </si>
  <si>
    <t>23% Sad, 20% Happy, 7% Disgusted, 14% Neutral, 13% Fearful, 3% Surprised</t>
  </si>
  <si>
    <t>Low openness, Neuroticism high in Perceptiface and low in Beecome, generally very all or nothing like</t>
  </si>
  <si>
    <t>21.75min</t>
  </si>
  <si>
    <t>Agreeableness
Conscientiousness
Extraversion
Neuroticism
Openness to Experience</t>
  </si>
  <si>
    <t>The system predicts me as more extraverted and emotionally stable than I actually am</t>
  </si>
  <si>
    <t>14,38 min</t>
  </si>
  <si>
    <t>Bee 57%, treehugger 36%, open 69%</t>
  </si>
  <si>
    <t>All high except Conscientiousness</t>
  </si>
  <si>
    <t>Angry 26%, Neutral 22%. Sad 26%, Fearful 14%</t>
  </si>
  <si>
    <t>High Agreeableness, mid Conscientiousness and Intellect</t>
  </si>
  <si>
    <t>German: "Weißt du schon ob 14 Uhr bei dir klappt?",  "Morgen könnte ich vormittags oder nachmittags bis 14 Uhr"</t>
  </si>
  <si>
    <t>almost every group member has the same profile except of one and similar values</t>
  </si>
  <si>
    <t xml:space="preserve">10,65 hours </t>
  </si>
  <si>
    <t>Treehunger</t>
  </si>
  <si>
    <t>78% Ant; 46 % treehuger; 83% conscious; Personality Profile: High Conscientiousness, Medium Extraversion, Low Openess, Agreeableness, Neuroticism
Medium sender with 16 messages
83% conscious</t>
  </si>
  <si>
    <t>Angry 14%, Fearfull 13%, Happy 6 %, Neutral 23%, Sad 22%, Surprised 3%
FFI prediction: all at 100% except Conscientiousness (0%)
Values: all at 100%
Moral: almost 0%
Dospert: Mixed values
Surprises: The prediction of the values does not really fit.</t>
  </si>
  <si>
    <t xml:space="preserve">Personality: Openness 0.8, Conscientiousness 3.2, Extraversion 3.2, Agreeableness 3.2, Neuroticism 1.6
Risk: Social: 4.0, Recreational 0, Ethical 1.2, Financial 6.0, Health 0
Moral: Selfdirection: 8, Universalism 8, Benevolence 8
Although the BEECOME results resonate with me more than PERCEPTIFACE, there is a notable discrepancy regarding my social traits. I perceive myself as an sociable and open-minded person, which stands in contrast to the lower scores reflected in the assessment.                        </t>
  </si>
  <si>
    <t>29.02 min</t>
  </si>
  <si>
    <t>Extroversion, no conscientiousness</t>
  </si>
  <si>
    <t>Extraversion highest</t>
  </si>
  <si>
    <t>Very high Agreeableness and low risk tolerance</t>
  </si>
  <si>
    <t>It was a group of friends. We were all capybaras, yet we still had a considerable share of ticks in our personality, of around 20%.</t>
  </si>
  <si>
    <t>1.24 hours</t>
  </si>
  <si>
    <t>Nerd, Treehugger</t>
  </si>
  <si>
    <t>All moderate, except low Extraversion</t>
  </si>
  <si>
    <t>I was surprised that the tool detected only 0.02% sadness even though I felt very sad, while neuroticism was high in the FFI profile.</t>
  </si>
  <si>
    <t>I was surprised that the result suggested high Extraversion, because I would not personally describe myself that way.</t>
  </si>
  <si>
    <t>"Viel Erfolg Jungs!"</t>
  </si>
  <si>
    <t>Everyone except one person was a Capybara</t>
  </si>
  <si>
    <t>1.5 hours</t>
  </si>
  <si>
    <t>App doesn't work</t>
  </si>
  <si>
    <t>only 3% happy</t>
  </si>
  <si>
    <t>Zero Agreeableness</t>
  </si>
  <si>
    <t>SocialCompass Tools — How to Run Them Before the Block Course</t>
  </si>
  <si>
    <t>What it measures</t>
  </si>
  <si>
    <t>Input required</t>
  </si>
  <si>
    <t>Step-by-step</t>
  </si>
  <si>
    <t>Output you receive</t>
  </si>
  <si>
    <t>What to bring to your session</t>
  </si>
  <si>
    <t>🐝 Symbiont
Analyzer</t>
  </si>
  <si>
    <t>Your collaboration archetype based on the language you actually use in group chats.
Five types: Bee (coordinator), Ant (executor), Butterfly (networker), Capybara (harmoniser), Leech (free-rider).</t>
  </si>
  <si>
    <t>A WhatsApp group chat export (.txt file). Use a chat where you are genuinely active — at least a few weeks of messages.</t>
  </si>
  <si>
    <t>1. Open WhatsApp on your phone.
2. Go to the group chat → ⋮ Menu → More → Export chat (without media).
3. Upload the .txt file to the Symbiont Analyzer app (iOS / Android) or web version.
4. Takes ~2 minutes.</t>
  </si>
  <si>
    <t>Your archetype label + percentage breakdown + top word patterns that determined it.</t>
  </si>
  <si>
    <t>Archetype name. Top 3 word patterns. One-sentence argument: does the result fit you?</t>
  </si>
  <si>
    <t>💬 SC Chat
Analyzer</t>
  </si>
  <si>
    <t>Your communication role in a network: who initiates, who responds, response latency, centrality in the group.</t>
  </si>
  <si>
    <t>A WhatsApp group chat export (.txt file). Can be the same chat as Symbiont.</t>
  </si>
  <si>
    <r>
      <rPr>
        <rFont val="Arial"/>
        <color rgb="FF000000"/>
        <sz val="9.0"/>
      </rPr>
      <t xml:space="preserve">1. Export the same WhatsApp group chat as above.
2. Upload at </t>
    </r>
    <r>
      <rPr>
        <rFont val="Arial"/>
        <color rgb="FF1155CC"/>
        <sz val="9.0"/>
        <u/>
      </rPr>
      <t>socialcompass.ai/chat.</t>
    </r>
    <r>
      <rPr>
        <rFont val="Arial"/>
        <color rgb="FF000000"/>
        <sz val="9.0"/>
      </rPr>
      <t xml:space="preserve">
3. Processing takes ~5 minutes.</t>
    </r>
  </si>
  <si>
    <t>Network role label (Star / Supporter / Observer / Loner), average response latency, and a network graph image.</t>
  </si>
  <si>
    <t>Network role. Average response time. Network graph screenshot saved to your phone.</t>
  </si>
  <si>
    <t>😐 Perceptiface</t>
  </si>
  <si>
    <t>Your dominant facial emotion and predicted FFI personality based on micro-expressions captured while you watch a video.
The model reads signals you are not consciously producing.</t>
  </si>
  <si>
    <t>Your smartphone (front camera). No upload or account needed — the app runs interactively.</t>
  </si>
  <si>
    <t>1. Open Perceptiface on your smartphone.
2. The app plays a short video on screen.
3. While you watch, your front camera records your facial expressions in real time.
4. The ML model returns your dominant emotion and a predicted FFI profile based on your emotional response.
5. Takes ~3 minutes.</t>
  </si>
  <si>
    <t>Dominant emotion label (e.g. Happy, Fearful, Surprised) + predicted FFI Big Five personality profile.</t>
  </si>
  <si>
    <t>Dominant emotion. FFI prediction. One thing that surprised you about the result.</t>
  </si>
  <si>
    <t>🎮 Beecome</t>
  </si>
  <si>
    <t>Your FFI personality characteristics based on behavioural choices — not self-report.
The model infers personality from how you make decisions, not what you say about yourself.</t>
  </si>
  <si>
    <t>Your smartphone. No prior account needed — the game runs as a standalone app.</t>
  </si>
  <si>
    <t>1. Open the Beecome app on your smartphone.
2. Read a multi-step story that unfolds across several scenes.
3. At each decision point, swipe left or right to choose what the character does.
4. The ML model analyses your swipe pattern and computes your FFI personality profile.
5. Takes ~10 minutes.</t>
  </si>
  <si>
    <t>FFI Big Five personality profile derived from your swiping behaviour.</t>
  </si>
  <si>
    <t>Your Beecome FFI result. One note: does it match your Perceptiface FFI? Where do the two models agree or disagree?</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</si>
</sst>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b/>
      <sz val="13.0"/>
      <color rgb="FFFFFFFF"/>
      <name val="Arial"/>
    </font>
    <font/>
    <font>
      <b/>
      <sz val="9.0"/>
      <color rgb="FF3B2006"/>
      <name val="Arial"/>
    </font>
    <font>
      <i/>
      <sz val="8.0"/>
      <color rgb="FF555555"/>
      <name val="Arial"/>
    </font>
    <font>
      <b/>
      <sz val="9.0"/>
      <color rgb="FFFFFFFF"/>
      <name val="Arial"/>
    </font>
    <font>
      <sz val="9.0"/>
      <color rgb="FF000000"/>
      <name val="Arial"/>
    </font>
    <font>
      <b/>
      <sz val="8.0"/>
      <color rgb="FF6B3A10"/>
      <name val="Arial"/>
    </font>
    <font>
      <b/>
      <sz val="8.0"/>
      <color rgb="FF3B2006"/>
      <name val="Arial"/>
    </font>
    <font>
      <sz val="8.0"/>
      <color rgb="FF000000"/>
      <name val="Arial"/>
    </font>
    <font>
      <b/>
      <sz val="9.0"/>
      <color rgb="FFB22222"/>
      <name val="Arial"/>
    </font>
    <font>
      <i/>
      <sz val="8.0"/>
      <color rgb="FF888888"/>
      <name val="Arial"/>
    </font>
    <font>
      <b/>
      <sz val="12.0"/>
      <color rgb="FFFFFFFF"/>
      <name val="Arial"/>
    </font>
    <font>
      <b/>
      <sz val="10.0"/>
      <color rgb="FFFFFFFF"/>
      <name val="Arial"/>
    </font>
    <font>
      <b/>
      <sz val="9.0"/>
      <color rgb="FF6B3A10"/>
      <name val="Arial"/>
    </font>
    <font>
      <b/>
      <sz val="10.0"/>
      <color rgb="FF3B2006"/>
      <name val="Arial"/>
    </font>
    <font>
      <b/>
      <sz val="10.0"/>
      <color rgb="FF000000"/>
      <name val="Arial"/>
    </font>
    <font>
      <i/>
      <sz val="9.0"/>
      <color rgb="FF000000"/>
      <name val="Arial"/>
    </font>
    <font>
      <sz val="9.0"/>
      <color rgb="FF555555"/>
      <name val="Arial"/>
    </font>
    <font>
      <i/>
      <sz val="9.0"/>
      <color rgb="FF888888"/>
      <name val="Arial"/>
    </font>
    <font>
      <i/>
      <sz val="9.0"/>
      <color rgb="FF3B2006"/>
      <name val="Arial"/>
    </font>
    <font>
      <b/>
      <sz val="8.0"/>
      <color rgb="FFFFFFFF"/>
      <name val="Arial"/>
    </font>
    <font>
      <u/>
      <sz val="9.0"/>
      <color rgb="FF000000"/>
      <name val="Arial"/>
    </font>
  </fonts>
  <fills count="35">
    <fill>
      <patternFill patternType="none"/>
    </fill>
    <fill>
      <patternFill patternType="lightGray"/>
    </fill>
    <fill>
      <patternFill patternType="solid">
        <fgColor rgb="FF3B2006"/>
        <bgColor rgb="FF3B2006"/>
      </patternFill>
    </fill>
    <fill>
      <patternFill patternType="solid">
        <fgColor rgb="FFFFF3CD"/>
        <bgColor rgb="FFFFF3CD"/>
      </patternFill>
    </fill>
    <fill>
      <patternFill patternType="solid">
        <fgColor rgb="FFFAFAFA"/>
        <bgColor rgb="FFFAFAFA"/>
      </patternFill>
    </fill>
    <fill>
      <patternFill patternType="solid">
        <fgColor rgb="FF6B3A10"/>
        <bgColor rgb="FF6B3A10"/>
      </patternFill>
    </fill>
    <fill>
      <patternFill patternType="solid">
        <fgColor rgb="FFFFF0E8"/>
        <bgColor rgb="FFFFF0E8"/>
      </patternFill>
    </fill>
    <fill>
      <patternFill patternType="solid">
        <fgColor rgb="FFEEF6FF"/>
        <bgColor rgb="FFEEF6FF"/>
      </patternFill>
    </fill>
    <fill>
      <patternFill patternType="solid">
        <fgColor rgb="FFFFF9C4"/>
        <bgColor rgb="FFFFF9C4"/>
      </patternFill>
    </fill>
    <fill>
      <patternFill patternType="solid">
        <fgColor rgb="FFFFFDE7"/>
        <bgColor rgb="FFFFFDE7"/>
      </patternFill>
    </fill>
    <fill>
      <patternFill patternType="solid">
        <fgColor rgb="FFF0F0F0"/>
        <bgColor rgb="FFF0F0F0"/>
      </patternFill>
    </fill>
    <fill>
      <patternFill patternType="solid">
        <fgColor rgb="FFC6EFCE"/>
        <bgColor rgb="FFC6EFCE"/>
      </patternFill>
    </fill>
    <fill>
      <patternFill patternType="solid">
        <fgColor rgb="FFF3E5F5"/>
        <bgColor rgb="FFF3E5F5"/>
      </patternFill>
    </fill>
    <fill>
      <patternFill patternType="solid">
        <fgColor rgb="FFE3F2FD"/>
        <bgColor rgb="FFE3F2FD"/>
      </patternFill>
    </fill>
    <fill>
      <patternFill patternType="solid">
        <fgColor rgb="FFEEF4FF"/>
        <bgColor rgb="FFEEF4FF"/>
      </patternFill>
    </fill>
    <fill>
      <patternFill patternType="solid">
        <fgColor rgb="FFF0F8FF"/>
        <bgColor rgb="FFF0F8FF"/>
      </patternFill>
    </fill>
    <fill>
      <patternFill patternType="solid">
        <fgColor rgb="FFE8F5E9"/>
        <bgColor rgb="FFE8F5E9"/>
      </patternFill>
    </fill>
    <fill>
      <patternFill patternType="solid">
        <fgColor rgb="FFF0FFF4"/>
        <bgColor rgb="FFF0FFF4"/>
      </patternFill>
    </fill>
    <fill>
      <patternFill patternType="solid">
        <fgColor rgb="FFF5FFF0"/>
        <bgColor rgb="FFF5FFF0"/>
      </patternFill>
    </fill>
    <fill>
      <patternFill patternType="solid">
        <fgColor rgb="FFFCE4D6"/>
        <bgColor rgb="FFFCE4D6"/>
      </patternFill>
    </fill>
    <fill>
      <patternFill patternType="solid">
        <fgColor rgb="FFFFFFF0"/>
        <bgColor rgb="FFFFFFF0"/>
      </patternFill>
    </fill>
    <fill>
      <patternFill patternType="solid">
        <fgColor rgb="FFFDF0FF"/>
        <bgColor rgb="FFFDF0FF"/>
      </patternFill>
    </fill>
    <fill>
      <patternFill patternType="solid">
        <fgColor rgb="FFFFF0FB"/>
        <bgColor rgb="FFFFF0FB"/>
      </patternFill>
    </fill>
    <fill>
      <patternFill patternType="solid">
        <fgColor rgb="FFE0F2F1"/>
        <bgColor rgb="FFE0F2F1"/>
      </patternFill>
    </fill>
    <fill>
      <patternFill patternType="solid">
        <fgColor rgb="FFFFF3E0"/>
        <bgColor rgb="FFFFF3E0"/>
      </patternFill>
    </fill>
    <fill>
      <patternFill patternType="solid">
        <fgColor rgb="FF1A5276"/>
        <bgColor rgb="FF1A5276"/>
      </patternFill>
    </fill>
    <fill>
      <patternFill patternType="solid">
        <fgColor rgb="FFFFFEF5"/>
        <bgColor rgb="FFFFFEF5"/>
      </patternFill>
    </fill>
    <fill>
      <patternFill patternType="solid">
        <fgColor rgb="FFF5F5F5"/>
        <bgColor rgb="FFF5F5F5"/>
      </patternFill>
    </fill>
    <fill>
      <patternFill patternType="solid">
        <fgColor rgb="FF1E8449"/>
        <bgColor rgb="FF1E8449"/>
      </patternFill>
    </fill>
    <fill>
      <patternFill patternType="solid">
        <fgColor rgb="FFB8860B"/>
        <bgColor rgb="FFB8860B"/>
      </patternFill>
    </fill>
    <fill>
      <patternFill patternType="solid">
        <fgColor rgb="FF2E7D32"/>
        <bgColor rgb="FF2E7D32"/>
      </patternFill>
    </fill>
    <fill>
      <patternFill patternType="solid">
        <fgColor rgb="FF1565C0"/>
        <bgColor rgb="FF1565C0"/>
      </patternFill>
    </fill>
    <fill>
      <patternFill patternType="solid">
        <fgColor rgb="FF6A1B9A"/>
        <bgColor rgb="FF6A1B9A"/>
      </patternFill>
    </fill>
    <fill>
      <patternFill patternType="solid">
        <fgColor rgb="FFFFFFFF"/>
        <bgColor rgb="FFFFFFFF"/>
      </patternFill>
    </fill>
    <fill>
      <patternFill patternType="solid">
        <fgColor rgb="FFFFFEF8"/>
        <bgColor rgb="FFFFFEF8"/>
      </patternFill>
    </fill>
  </fills>
  <borders count="8">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4" fillId="5" fontId="5" numFmtId="0" xfId="0" applyAlignment="1" applyBorder="1" applyFill="1" applyFont="1">
      <alignment horizontal="center" shrinkToFit="0" vertical="center" wrapText="1"/>
    </xf>
    <xf borderId="4" fillId="6" fontId="3" numFmtId="0" xfId="0" applyAlignment="1" applyBorder="1" applyFill="1" applyFont="1">
      <alignment horizontal="left" shrinkToFit="0" vertical="center" wrapText="1"/>
    </xf>
    <xf borderId="4" fillId="6" fontId="6" numFmtId="0" xfId="0" applyAlignment="1" applyBorder="1" applyFont="1">
      <alignment horizontal="center" shrinkToFit="0" vertical="center" wrapText="1"/>
    </xf>
    <xf borderId="4" fillId="6" fontId="6" numFmtId="0" xfId="0" applyAlignment="1" applyBorder="1" applyFont="1">
      <alignment horizontal="left" shrinkToFit="0" vertical="center" wrapText="1"/>
    </xf>
    <xf borderId="4" fillId="7" fontId="7" numFmtId="0" xfId="0" applyAlignment="1" applyBorder="1" applyFill="1" applyFont="1">
      <alignment horizontal="center" shrinkToFit="0" vertical="center" wrapText="1"/>
    </xf>
    <xf borderId="4" fillId="8" fontId="8" numFmtId="0" xfId="0" applyAlignment="1" applyBorder="1" applyFill="1" applyFont="1">
      <alignment horizontal="center" shrinkToFit="0" vertical="center" wrapText="1"/>
    </xf>
    <xf borderId="4" fillId="9" fontId="6" numFmtId="0" xfId="0" applyAlignment="1" applyBorder="1" applyFill="1" applyFont="1">
      <alignment horizontal="left" readingOrder="0" shrinkToFit="0" vertical="center" wrapText="1"/>
    </xf>
    <xf borderId="4" fillId="10" fontId="6" numFmtId="0" xfId="0" applyAlignment="1" applyBorder="1" applyFill="1" applyFont="1">
      <alignment horizontal="left" shrinkToFit="0" vertical="center" wrapText="1"/>
    </xf>
    <xf borderId="4" fillId="7" fontId="9" numFmtId="0" xfId="0" applyAlignment="1" applyBorder="1" applyFont="1">
      <alignment horizontal="center" shrinkToFit="0" vertical="center" wrapText="1"/>
    </xf>
    <xf borderId="4" fillId="11" fontId="6" numFmtId="0" xfId="0" applyAlignment="1" applyBorder="1" applyFill="1" applyFont="1">
      <alignment horizontal="center" shrinkToFit="0" vertical="center" wrapText="1"/>
    </xf>
    <xf borderId="4" fillId="12" fontId="8" numFmtId="0" xfId="0" applyAlignment="1" applyBorder="1" applyFill="1" applyFont="1">
      <alignment horizontal="center" shrinkToFit="0" vertical="center" wrapText="1"/>
    </xf>
    <xf borderId="4" fillId="6" fontId="6" numFmtId="0" xfId="0" applyAlignment="1" applyBorder="1" applyFont="1">
      <alignment horizontal="left" readingOrder="0" shrinkToFit="0" vertical="center" wrapText="1"/>
    </xf>
    <xf borderId="4" fillId="13" fontId="8" numFmtId="0" xfId="0" applyAlignment="1" applyBorder="1" applyFill="1" applyFont="1">
      <alignment horizontal="center" shrinkToFit="0" vertical="center" wrapText="1"/>
    </xf>
    <xf borderId="4" fillId="14" fontId="3" numFmtId="0" xfId="0" applyAlignment="1" applyBorder="1" applyFill="1" applyFont="1">
      <alignment horizontal="left" shrinkToFit="0" vertical="center" wrapText="1"/>
    </xf>
    <xf borderId="4" fillId="14" fontId="6" numFmtId="0" xfId="0" applyAlignment="1" applyBorder="1" applyFont="1">
      <alignment horizontal="center" shrinkToFit="0" vertical="center" wrapText="1"/>
    </xf>
    <xf borderId="4" fillId="14" fontId="6" numFmtId="0" xfId="0" applyAlignment="1" applyBorder="1" applyFont="1">
      <alignment horizontal="left" shrinkToFit="0" vertical="center" wrapText="1"/>
    </xf>
    <xf borderId="4" fillId="15" fontId="6" numFmtId="0" xfId="0" applyAlignment="1" applyBorder="1" applyFill="1" applyFont="1">
      <alignment horizontal="left" shrinkToFit="0" vertical="center" wrapText="1"/>
    </xf>
    <xf borderId="4" fillId="14" fontId="10" numFmtId="0" xfId="0" applyAlignment="1" applyBorder="1" applyFont="1">
      <alignment horizontal="center" shrinkToFit="0" vertical="center" wrapText="1"/>
    </xf>
    <xf borderId="4" fillId="16" fontId="8" numFmtId="0" xfId="0" applyAlignment="1" applyBorder="1" applyFill="1" applyFont="1">
      <alignment horizontal="center" shrinkToFit="0" vertical="center" wrapText="1"/>
    </xf>
    <xf borderId="4" fillId="17" fontId="3" numFmtId="0" xfId="0" applyAlignment="1" applyBorder="1" applyFill="1" applyFont="1">
      <alignment horizontal="left" shrinkToFit="0" vertical="center" wrapText="1"/>
    </xf>
    <xf borderId="4" fillId="17" fontId="6" numFmtId="0" xfId="0" applyAlignment="1" applyBorder="1" applyFont="1">
      <alignment horizontal="center" shrinkToFit="0" vertical="center" wrapText="1"/>
    </xf>
    <xf borderId="4" fillId="17" fontId="6" numFmtId="0" xfId="0" applyAlignment="1" applyBorder="1" applyFont="1">
      <alignment horizontal="left" shrinkToFit="0" vertical="center" wrapText="1"/>
    </xf>
    <xf borderId="4" fillId="18" fontId="6" numFmtId="0" xfId="0" applyAlignment="1" applyBorder="1" applyFill="1" applyFont="1">
      <alignment horizontal="left" shrinkToFit="0" vertical="center" wrapText="1"/>
    </xf>
    <xf borderId="4" fillId="10" fontId="6" numFmtId="0" xfId="0" applyAlignment="1" applyBorder="1" applyFont="1">
      <alignment horizontal="left" readingOrder="0" shrinkToFit="0" vertical="center" wrapText="1"/>
    </xf>
    <xf borderId="4" fillId="17" fontId="7" numFmtId="0" xfId="0" applyAlignment="1" applyBorder="1" applyFont="1">
      <alignment horizontal="center" shrinkToFit="0" vertical="center" wrapText="1"/>
    </xf>
    <xf borderId="4" fillId="19" fontId="8" numFmtId="0" xfId="0" applyAlignment="1" applyBorder="1" applyFill="1" applyFont="1">
      <alignment horizontal="center" shrinkToFit="0" vertical="center" wrapText="1"/>
    </xf>
    <xf borderId="4" fillId="17" fontId="9" numFmtId="0" xfId="0" applyAlignment="1" applyBorder="1" applyFont="1">
      <alignment horizontal="center" shrinkToFit="0" vertical="center" wrapText="1"/>
    </xf>
    <xf borderId="4" fillId="20" fontId="3" numFmtId="0" xfId="0" applyAlignment="1" applyBorder="1" applyFill="1" applyFont="1">
      <alignment horizontal="left" shrinkToFit="0" vertical="center" wrapText="1"/>
    </xf>
    <xf borderId="4" fillId="20" fontId="6" numFmtId="0" xfId="0" applyAlignment="1" applyBorder="1" applyFont="1">
      <alignment horizontal="center" shrinkToFit="0" vertical="center" wrapText="1"/>
    </xf>
    <xf borderId="4" fillId="20" fontId="6" numFmtId="0" xfId="0" applyAlignment="1" applyBorder="1" applyFont="1">
      <alignment horizontal="left" shrinkToFit="0" vertical="center" wrapText="1"/>
    </xf>
    <xf borderId="4" fillId="9" fontId="6" numFmtId="0" xfId="0" applyAlignment="1" applyBorder="1" applyFont="1">
      <alignment horizontal="left" shrinkToFit="0" vertical="center" wrapText="1"/>
    </xf>
    <xf borderId="4" fillId="21" fontId="3" numFmtId="0" xfId="0" applyAlignment="1" applyBorder="1" applyFill="1" applyFont="1">
      <alignment horizontal="left" shrinkToFit="0" vertical="center" wrapText="1"/>
    </xf>
    <xf borderId="4" fillId="21" fontId="6" numFmtId="0" xfId="0" applyAlignment="1" applyBorder="1" applyFont="1">
      <alignment horizontal="center" shrinkToFit="0" vertical="center" wrapText="1"/>
    </xf>
    <xf borderId="4" fillId="21" fontId="6" numFmtId="0" xfId="0" applyAlignment="1" applyBorder="1" applyFont="1">
      <alignment horizontal="left" shrinkToFit="0" vertical="center" wrapText="1"/>
    </xf>
    <xf borderId="4" fillId="22" fontId="6" numFmtId="0" xfId="0" applyAlignment="1" applyBorder="1" applyFill="1" applyFont="1">
      <alignment horizontal="left" shrinkToFit="0" vertical="center" wrapText="1"/>
    </xf>
    <xf borderId="4" fillId="9" fontId="6" numFmtId="0" xfId="0" applyAlignment="1" applyBorder="1" applyFont="1">
      <alignment horizontal="left" readingOrder="0" shrinkToFit="0" vertical="center" wrapText="1"/>
    </xf>
    <xf borderId="4" fillId="23" fontId="8" numFmtId="0" xfId="0" applyAlignment="1" applyBorder="1" applyFill="1" applyFont="1">
      <alignment horizontal="center" shrinkToFit="0" vertical="center" wrapText="1"/>
    </xf>
    <xf borderId="4" fillId="24" fontId="8" numFmtId="0" xfId="0" applyAlignment="1" applyBorder="1" applyFill="1" applyFont="1">
      <alignment horizontal="center" shrinkToFit="0" vertical="center" wrapText="1"/>
    </xf>
    <xf borderId="0" fillId="0" fontId="11" numFmtId="0" xfId="0" applyAlignment="1" applyFont="1">
      <alignment horizontal="left" shrinkToFit="0" vertical="center" wrapText="1"/>
    </xf>
    <xf borderId="1" fillId="2" fontId="12" numFmtId="0" xfId="0" applyAlignment="1" applyBorder="1" applyFont="1">
      <alignment horizontal="center" shrinkToFit="0" vertical="center" wrapText="1"/>
    </xf>
    <xf borderId="1" fillId="25" fontId="13" numFmtId="0" xfId="0" applyAlignment="1" applyBorder="1" applyFill="1" applyFont="1">
      <alignment horizontal="center" shrinkToFit="0" vertical="center" wrapText="1"/>
    </xf>
    <xf borderId="4" fillId="7" fontId="14"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4" fillId="6" fontId="16" numFmtId="0" xfId="0" applyAlignment="1" applyBorder="1" applyFont="1">
      <alignment horizontal="left" shrinkToFit="0" vertical="center" wrapText="1"/>
    </xf>
    <xf borderId="4" fillId="8" fontId="3" numFmtId="0" xfId="0" applyAlignment="1" applyBorder="1" applyFont="1">
      <alignment horizontal="center" shrinkToFit="0" vertical="center" wrapText="1"/>
    </xf>
    <xf borderId="4" fillId="26" fontId="17" numFmtId="0" xfId="0" applyAlignment="1" applyBorder="1" applyFill="1" applyFont="1">
      <alignment horizontal="left" shrinkToFit="0" vertical="top" wrapText="1"/>
    </xf>
    <xf borderId="4" fillId="27" fontId="18" numFmtId="0" xfId="0" applyAlignment="1" applyBorder="1" applyFill="1" applyFont="1">
      <alignment horizontal="left" shrinkToFit="0" vertical="center" wrapText="1"/>
    </xf>
    <xf borderId="4" fillId="12" fontId="3" numFmtId="0" xfId="0" applyAlignment="1" applyBorder="1" applyFont="1">
      <alignment horizontal="center" shrinkToFit="0" vertical="center" wrapText="1"/>
    </xf>
    <xf borderId="4" fillId="13" fontId="3" numFmtId="0" xfId="0" applyAlignment="1" applyBorder="1" applyFont="1">
      <alignment horizontal="center" shrinkToFit="0" vertical="center" wrapText="1"/>
    </xf>
    <xf borderId="4" fillId="14" fontId="15" numFmtId="0" xfId="0" applyAlignment="1" applyBorder="1" applyFont="1">
      <alignment horizontal="center" shrinkToFit="0" vertical="center" wrapText="1"/>
    </xf>
    <xf borderId="4" fillId="14" fontId="16" numFmtId="0" xfId="0" applyAlignment="1" applyBorder="1" applyFont="1">
      <alignment horizontal="left" shrinkToFit="0" vertical="center" wrapText="1"/>
    </xf>
    <xf borderId="5" fillId="27" fontId="19" numFmtId="0" xfId="0" applyAlignment="1" applyBorder="1" applyFont="1">
      <alignment horizontal="center" shrinkToFit="0" vertical="center" wrapText="1"/>
    </xf>
    <xf borderId="6" fillId="0" fontId="2" numFmtId="0" xfId="0" applyBorder="1" applyFont="1"/>
    <xf borderId="7" fillId="0" fontId="2" numFmtId="0" xfId="0" applyBorder="1" applyFont="1"/>
    <xf borderId="4" fillId="16" fontId="3" numFmtId="0" xfId="0" applyAlignment="1" applyBorder="1" applyFont="1">
      <alignment horizontal="center" shrinkToFit="0" vertical="center" wrapText="1"/>
    </xf>
    <xf borderId="4" fillId="17" fontId="15" numFmtId="0" xfId="0" applyAlignment="1" applyBorder="1" applyFont="1">
      <alignment horizontal="center" shrinkToFit="0" vertical="center" wrapText="1"/>
    </xf>
    <xf borderId="4" fillId="17" fontId="16" numFmtId="0" xfId="0" applyAlignment="1" applyBorder="1" applyFont="1">
      <alignment horizontal="left" shrinkToFit="0" vertical="center" wrapText="1"/>
    </xf>
    <xf borderId="1" fillId="28" fontId="13" numFmtId="0" xfId="0" applyAlignment="1" applyBorder="1" applyFill="1" applyFont="1">
      <alignment horizontal="center" shrinkToFit="0" vertical="center" wrapText="1"/>
    </xf>
    <xf borderId="4" fillId="17" fontId="14" numFmtId="0" xfId="0" applyAlignment="1" applyBorder="1" applyFont="1">
      <alignment horizontal="center" shrinkToFit="0" vertical="center" wrapText="1"/>
    </xf>
    <xf borderId="4" fillId="19" fontId="3" numFmtId="0" xfId="0" applyAlignment="1" applyBorder="1" applyFont="1">
      <alignment horizontal="center" shrinkToFit="0" vertical="center" wrapText="1"/>
    </xf>
    <xf borderId="4" fillId="20" fontId="15" numFmtId="0" xfId="0" applyAlignment="1" applyBorder="1" applyFont="1">
      <alignment horizontal="center" shrinkToFit="0" vertical="center" wrapText="1"/>
    </xf>
    <xf borderId="4" fillId="20" fontId="16" numFmtId="0" xfId="0" applyAlignment="1" applyBorder="1" applyFont="1">
      <alignment horizontal="left" shrinkToFit="0" vertical="center" wrapText="1"/>
    </xf>
    <xf borderId="5" fillId="17" fontId="14" numFmtId="0" xfId="0" applyAlignment="1" applyBorder="1" applyFont="1">
      <alignment horizontal="center" shrinkToFit="0" vertical="center" wrapText="1"/>
    </xf>
    <xf borderId="4" fillId="21" fontId="15" numFmtId="0" xfId="0" applyAlignment="1" applyBorder="1" applyFont="1">
      <alignment horizontal="center" shrinkToFit="0" vertical="center" wrapText="1"/>
    </xf>
    <xf borderId="4" fillId="21" fontId="16" numFmtId="0" xfId="0" applyAlignment="1" applyBorder="1" applyFont="1">
      <alignment horizontal="left" shrinkToFit="0" vertical="center" wrapText="1"/>
    </xf>
    <xf borderId="4" fillId="21" fontId="10" numFmtId="0" xfId="0" applyAlignment="1" applyBorder="1" applyFont="1">
      <alignment horizontal="center" shrinkToFit="0" vertical="center" wrapText="1"/>
    </xf>
    <xf borderId="4" fillId="23" fontId="3" numFmtId="0" xfId="0" applyAlignment="1" applyBorder="1" applyFont="1">
      <alignment horizontal="center" shrinkToFit="0" vertical="center" wrapText="1"/>
    </xf>
    <xf borderId="4" fillId="24" fontId="3" numFmtId="0" xfId="0" applyAlignment="1" applyBorder="1" applyFont="1">
      <alignment horizontal="center" shrinkToFit="0" vertical="center" wrapText="1"/>
    </xf>
    <xf borderId="1" fillId="3" fontId="20"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1" fillId="29" fontId="5" numFmtId="0" xfId="0" applyAlignment="1" applyBorder="1" applyFill="1" applyFont="1">
      <alignment horizontal="center" shrinkToFit="0" vertical="center" wrapText="1"/>
    </xf>
    <xf borderId="1" fillId="30" fontId="5" numFmtId="0" xfId="0" applyAlignment="1" applyBorder="1" applyFill="1" applyFont="1">
      <alignment horizontal="center" shrinkToFit="0" vertical="center" wrapText="1"/>
    </xf>
    <xf borderId="1" fillId="31" fontId="5" numFmtId="0" xfId="0" applyAlignment="1" applyBorder="1" applyFill="1" applyFont="1">
      <alignment horizontal="center" shrinkToFit="0" vertical="center" wrapText="1"/>
    </xf>
    <xf borderId="1" fillId="32" fontId="5" numFmtId="0" xfId="0" applyAlignment="1" applyBorder="1" applyFill="1" applyFont="1">
      <alignment horizontal="center" shrinkToFit="0" vertical="center" wrapText="1"/>
    </xf>
    <xf borderId="4" fillId="5" fontId="21" numFmtId="0" xfId="0" applyAlignment="1" applyBorder="1" applyFont="1">
      <alignment horizontal="center" shrinkToFit="0" vertical="center" wrapText="1"/>
    </xf>
    <xf borderId="4" fillId="29" fontId="21" numFmtId="0" xfId="0" applyAlignment="1" applyBorder="1" applyFont="1">
      <alignment horizontal="center" shrinkToFit="0" vertical="center" wrapText="1"/>
    </xf>
    <xf borderId="4" fillId="30" fontId="21" numFmtId="0" xfId="0" applyAlignment="1" applyBorder="1" applyFont="1">
      <alignment horizontal="center" shrinkToFit="0" vertical="center" wrapText="1"/>
    </xf>
    <xf borderId="4" fillId="31" fontId="21" numFmtId="0" xfId="0" applyAlignment="1" applyBorder="1" applyFont="1">
      <alignment horizontal="center" shrinkToFit="0" vertical="center" wrapText="1"/>
    </xf>
    <xf borderId="4" fillId="32" fontId="21" numFmtId="0" xfId="0" applyAlignment="1" applyBorder="1" applyFont="1">
      <alignment horizontal="center" shrinkToFit="0" vertical="center" wrapText="1"/>
    </xf>
    <xf borderId="4" fillId="33" fontId="6" numFmtId="0" xfId="0" applyAlignment="1" applyBorder="1" applyFill="1" applyFont="1">
      <alignment horizontal="left" readingOrder="0" shrinkToFit="0" vertical="center" wrapText="1"/>
    </xf>
    <xf borderId="4" fillId="33" fontId="6" numFmtId="0" xfId="0" applyAlignment="1" applyBorder="1" applyFont="1">
      <alignment horizontal="left" shrinkToFit="0" vertical="center" wrapText="1"/>
    </xf>
    <xf borderId="4" fillId="4" fontId="6" numFmtId="0" xfId="0" applyAlignment="1" applyBorder="1" applyFont="1">
      <alignment horizontal="left" readingOrder="0" shrinkToFit="0" vertical="center" wrapText="1"/>
    </xf>
    <xf borderId="4" fillId="4" fontId="6" numFmtId="0" xfId="0" applyAlignment="1" applyBorder="1" applyFont="1">
      <alignment horizontal="left" shrinkToFit="0" vertical="center" wrapText="1"/>
    </xf>
    <xf borderId="4" fillId="5" fontId="5" numFmtId="0" xfId="0" applyAlignment="1" applyBorder="1" applyFont="1">
      <alignment horizontal="left" shrinkToFit="0" vertical="top" wrapText="1"/>
    </xf>
    <xf borderId="4" fillId="8" fontId="15" numFmtId="0" xfId="0" applyAlignment="1" applyBorder="1" applyFont="1">
      <alignment horizontal="left" shrinkToFit="0" vertical="top" wrapText="1"/>
    </xf>
    <xf borderId="4" fillId="34" fontId="6" numFmtId="0" xfId="0" applyAlignment="1" applyBorder="1" applyFill="1" applyFont="1">
      <alignment horizontal="left" shrinkToFit="0" vertical="top" wrapText="1"/>
    </xf>
    <xf borderId="4" fillId="6" fontId="6" numFmtId="0" xfId="0" applyAlignment="1" applyBorder="1" applyFont="1">
      <alignment horizontal="left" shrinkToFit="0" vertical="top" wrapText="1"/>
    </xf>
    <xf borderId="4" fillId="17" fontId="6" numFmtId="0" xfId="0" applyAlignment="1" applyBorder="1" applyFont="1">
      <alignment horizontal="left" shrinkToFit="0" vertical="top" wrapText="1"/>
    </xf>
    <xf borderId="4" fillId="14" fontId="6" numFmtId="0" xfId="0" applyAlignment="1" applyBorder="1" applyFont="1">
      <alignment horizontal="left" shrinkToFit="0" vertical="top" wrapText="1"/>
    </xf>
    <xf borderId="4" fillId="21" fontId="6" numFmtId="0" xfId="0" applyAlignment="1" applyBorder="1" applyFont="1">
      <alignment horizontal="left" shrinkToFit="0" vertical="top" wrapText="1"/>
    </xf>
    <xf borderId="4" fillId="17" fontId="22" numFmtId="0" xfId="0" applyAlignment="1" applyBorder="1" applyFont="1">
      <alignment horizontal="left" readingOrder="0" shrinkToFit="0" vertical="top" wrapText="1"/>
    </xf>
  </cellXfs>
  <cellStyles count="1">
    <cellStyle xfId="0" name="Normal" builtinId="0"/>
  </cellStyles>
  <dxfs count="7">
    <dxf>
      <font/>
      <fill>
        <patternFill patternType="solid">
          <fgColor rgb="FFC6EFCE"/>
          <bgColor rgb="FFC6EFCE"/>
        </patternFill>
      </fill>
      <border/>
    </dxf>
    <dxf>
      <font/>
      <fill>
        <patternFill patternType="solid">
          <fgColor rgb="FFFFEB9C"/>
          <bgColor rgb="FFFFEB9C"/>
        </patternFill>
      </fill>
      <border/>
    </dxf>
    <dxf>
      <font/>
      <fill>
        <patternFill patternType="solid">
          <fgColor rgb="FFFFD700"/>
          <bgColor rgb="FFFFD700"/>
        </patternFill>
      </fill>
      <border/>
    </dxf>
    <dxf>
      <font/>
      <fill>
        <patternFill patternType="solid">
          <fgColor rgb="FF90EE90"/>
          <bgColor rgb="FF90EE90"/>
        </patternFill>
      </fill>
      <border/>
    </dxf>
    <dxf>
      <font/>
      <fill>
        <patternFill patternType="solid">
          <fgColor rgb="FF87CEEB"/>
          <bgColor rgb="FF87CEEB"/>
        </patternFill>
      </fill>
      <border/>
    </dxf>
    <dxf>
      <font/>
      <fill>
        <patternFill patternType="solid">
          <fgColor rgb="FFDDA0DD"/>
          <bgColor rgb="FFDDA0DD"/>
        </patternFill>
      </fill>
      <border/>
    </dxf>
    <dxf>
      <font/>
      <fill>
        <patternFill patternType="solid">
          <fgColor rgb="FFF08080"/>
          <bgColor rgb="FFF0808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cialcompass.ai/chat."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4.43" defaultRowHeight="15.0"/>
  <cols>
    <col customWidth="1" min="1" max="1" width="18.0"/>
    <col customWidth="1" min="2" max="2" width="5.0"/>
    <col customWidth="1" min="3" max="3" width="26.0"/>
    <col customWidth="1" min="4" max="4" width="30.0"/>
    <col customWidth="1" min="5" max="5" width="7.0"/>
    <col customWidth="1" min="6" max="6" width="14.0"/>
    <col customWidth="1" min="7" max="7" width="16.0"/>
    <col customWidth="1" min="8" max="8" width="22.0"/>
    <col customWidth="1" min="9" max="9" width="26.0"/>
    <col customWidth="1" min="10" max="10" width="22.0"/>
    <col customWidth="1" min="11" max="11" width="26.0"/>
    <col customWidth="1" min="12" max="12" width="20.0"/>
    <col customWidth="1" min="13" max="13" width="24.0"/>
    <col customWidth="1" min="14" max="15" width="11.0"/>
    <col customWidth="1" min="16" max="26" width="8.86"/>
  </cols>
  <sheetData>
    <row r="1" ht="25.5" customHeight="1">
      <c r="A1" s="1" t="s">
        <v>0</v>
      </c>
      <c r="B1" s="2"/>
      <c r="C1" s="2"/>
      <c r="D1" s="2"/>
      <c r="E1" s="2"/>
      <c r="F1" s="2"/>
      <c r="G1" s="2"/>
      <c r="H1" s="2"/>
      <c r="I1" s="2"/>
      <c r="J1" s="2"/>
      <c r="K1" s="2"/>
      <c r="L1" s="2"/>
      <c r="M1" s="2"/>
      <c r="N1" s="2"/>
      <c r="O1" s="3"/>
    </row>
    <row r="2" ht="19.5" customHeight="1">
      <c r="A2" s="4" t="s">
        <v>1</v>
      </c>
      <c r="B2" s="2"/>
      <c r="C2" s="2"/>
      <c r="D2" s="2"/>
      <c r="E2" s="2"/>
      <c r="F2" s="2"/>
      <c r="G2" s="2"/>
      <c r="H2" s="2"/>
      <c r="I2" s="2"/>
      <c r="J2" s="2"/>
      <c r="K2" s="2"/>
      <c r="L2" s="2"/>
      <c r="M2" s="2"/>
      <c r="N2" s="2"/>
      <c r="O2" s="3"/>
    </row>
    <row r="3" ht="18.0" customHeight="1">
      <c r="A3" s="5" t="s">
        <v>2</v>
      </c>
      <c r="B3" s="2"/>
      <c r="C3" s="2"/>
      <c r="D3" s="2"/>
      <c r="E3" s="2"/>
      <c r="F3" s="2"/>
      <c r="G3" s="2"/>
      <c r="H3" s="2"/>
      <c r="I3" s="2"/>
      <c r="J3" s="2"/>
      <c r="K3" s="2"/>
      <c r="L3" s="2"/>
      <c r="M3" s="2"/>
      <c r="N3" s="2"/>
      <c r="O3" s="3"/>
    </row>
    <row r="4" ht="36.0" customHeight="1">
      <c r="A4" s="6" t="s">
        <v>3</v>
      </c>
      <c r="B4" s="6" t="s">
        <v>4</v>
      </c>
      <c r="C4" s="6" t="s">
        <v>5</v>
      </c>
      <c r="D4" s="6" t="s">
        <v>6</v>
      </c>
      <c r="E4" s="6" t="s">
        <v>7</v>
      </c>
      <c r="F4" s="6" t="s">
        <v>8</v>
      </c>
      <c r="G4" s="6" t="s">
        <v>9</v>
      </c>
      <c r="H4" s="6" t="s">
        <v>10</v>
      </c>
      <c r="I4" s="6" t="s">
        <v>11</v>
      </c>
      <c r="J4" s="6" t="s">
        <v>12</v>
      </c>
      <c r="K4" s="6" t="s">
        <v>13</v>
      </c>
      <c r="L4" s="6" t="s">
        <v>14</v>
      </c>
      <c r="M4" s="6" t="s">
        <v>15</v>
      </c>
      <c r="N4" s="6" t="s">
        <v>16</v>
      </c>
      <c r="O4" s="6" t="s">
        <v>17</v>
      </c>
    </row>
    <row r="5" ht="27.75" customHeight="1">
      <c r="A5" s="7" t="s">
        <v>18</v>
      </c>
      <c r="B5" s="8">
        <v>1.0</v>
      </c>
      <c r="C5" s="9" t="s">
        <v>19</v>
      </c>
      <c r="D5" s="9" t="s">
        <v>20</v>
      </c>
      <c r="E5" s="8">
        <v>2.0</v>
      </c>
      <c r="F5" s="10" t="s">
        <v>21</v>
      </c>
      <c r="G5" s="11" t="s">
        <v>22</v>
      </c>
      <c r="H5" s="12" t="s">
        <v>23</v>
      </c>
      <c r="I5" s="12" t="s">
        <v>24</v>
      </c>
      <c r="J5" s="12" t="s">
        <v>25</v>
      </c>
      <c r="K5" s="12" t="s">
        <v>26</v>
      </c>
      <c r="L5" s="13"/>
      <c r="M5" s="13"/>
      <c r="N5" s="14" t="s">
        <v>27</v>
      </c>
      <c r="O5" s="15" t="s">
        <v>28</v>
      </c>
    </row>
    <row r="6" ht="27.75" customHeight="1">
      <c r="A6" s="9" t="s">
        <v>18</v>
      </c>
      <c r="B6" s="8">
        <v>2.0</v>
      </c>
      <c r="C6" s="9" t="s">
        <v>29</v>
      </c>
      <c r="D6" s="9" t="s">
        <v>30</v>
      </c>
      <c r="E6" s="8">
        <v>2.0</v>
      </c>
      <c r="F6" s="10" t="s">
        <v>31</v>
      </c>
      <c r="G6" s="16" t="s">
        <v>32</v>
      </c>
      <c r="H6" s="12" t="s">
        <v>33</v>
      </c>
      <c r="I6" s="12" t="s">
        <v>34</v>
      </c>
      <c r="J6" s="12" t="s">
        <v>35</v>
      </c>
      <c r="K6" s="12" t="s">
        <v>36</v>
      </c>
      <c r="L6" s="13"/>
      <c r="M6" s="13"/>
      <c r="N6" s="14" t="s">
        <v>27</v>
      </c>
      <c r="O6" s="15" t="s">
        <v>28</v>
      </c>
    </row>
    <row r="7" ht="27.75" customHeight="1">
      <c r="A7" s="9" t="s">
        <v>18</v>
      </c>
      <c r="B7" s="8">
        <v>3.0</v>
      </c>
      <c r="C7" s="9" t="s">
        <v>37</v>
      </c>
      <c r="D7" s="17" t="s">
        <v>38</v>
      </c>
      <c r="E7" s="8">
        <v>2.0</v>
      </c>
      <c r="F7" s="10" t="s">
        <v>39</v>
      </c>
      <c r="G7" s="18" t="s">
        <v>40</v>
      </c>
      <c r="H7" s="12" t="s">
        <v>41</v>
      </c>
      <c r="I7" s="12" t="s">
        <v>42</v>
      </c>
      <c r="J7" s="12" t="s">
        <v>43</v>
      </c>
      <c r="K7" s="12" t="s">
        <v>44</v>
      </c>
      <c r="L7" s="13"/>
      <c r="M7" s="13"/>
      <c r="N7" s="14" t="s">
        <v>27</v>
      </c>
      <c r="O7" s="15" t="s">
        <v>28</v>
      </c>
    </row>
    <row r="8" ht="27.75" customHeight="1">
      <c r="A8" s="19" t="s">
        <v>45</v>
      </c>
      <c r="B8" s="20">
        <v>4.0</v>
      </c>
      <c r="C8" s="21" t="s">
        <v>46</v>
      </c>
      <c r="D8" s="22" t="s">
        <v>47</v>
      </c>
      <c r="E8" s="23">
        <v>3.0</v>
      </c>
      <c r="F8" s="10" t="s">
        <v>48</v>
      </c>
      <c r="G8" s="11" t="s">
        <v>22</v>
      </c>
      <c r="H8" s="12" t="s">
        <v>49</v>
      </c>
      <c r="I8" s="12" t="s">
        <v>50</v>
      </c>
      <c r="J8" s="12" t="s">
        <v>51</v>
      </c>
      <c r="K8" s="12" t="s">
        <v>52</v>
      </c>
      <c r="L8" s="12" t="s">
        <v>53</v>
      </c>
      <c r="M8" s="12" t="s">
        <v>54</v>
      </c>
      <c r="N8" s="14" t="s">
        <v>27</v>
      </c>
      <c r="O8" s="15" t="s">
        <v>28</v>
      </c>
    </row>
    <row r="9" ht="27.75" customHeight="1">
      <c r="A9" s="21" t="s">
        <v>45</v>
      </c>
      <c r="B9" s="20">
        <v>5.0</v>
      </c>
      <c r="C9" s="21" t="s">
        <v>55</v>
      </c>
      <c r="D9" s="22" t="s">
        <v>56</v>
      </c>
      <c r="E9" s="20">
        <v>2.0</v>
      </c>
      <c r="F9" s="10" t="s">
        <v>57</v>
      </c>
      <c r="G9" s="11" t="s">
        <v>22</v>
      </c>
      <c r="H9" s="12" t="s">
        <v>58</v>
      </c>
      <c r="I9" s="12" t="s">
        <v>59</v>
      </c>
      <c r="J9" s="12" t="s">
        <v>60</v>
      </c>
      <c r="K9" s="12" t="s">
        <v>61</v>
      </c>
      <c r="L9" s="13"/>
      <c r="M9" s="13"/>
      <c r="N9" s="14" t="s">
        <v>27</v>
      </c>
      <c r="O9" s="15" t="s">
        <v>28</v>
      </c>
    </row>
    <row r="10" ht="27.75" customHeight="1">
      <c r="A10" s="21" t="s">
        <v>45</v>
      </c>
      <c r="B10" s="20">
        <v>6.0</v>
      </c>
      <c r="C10" s="21" t="s">
        <v>62</v>
      </c>
      <c r="D10" s="22" t="s">
        <v>63</v>
      </c>
      <c r="E10" s="23">
        <v>3.0</v>
      </c>
      <c r="F10" s="10" t="s">
        <v>64</v>
      </c>
      <c r="G10" s="24" t="s">
        <v>65</v>
      </c>
      <c r="H10" s="12" t="s">
        <v>66</v>
      </c>
      <c r="I10" s="12" t="s">
        <v>67</v>
      </c>
      <c r="J10" s="12" t="s">
        <v>68</v>
      </c>
      <c r="K10" s="12" t="s">
        <v>69</v>
      </c>
      <c r="L10" s="12" t="s">
        <v>70</v>
      </c>
      <c r="M10" s="12" t="s">
        <v>71</v>
      </c>
      <c r="N10" s="14" t="s">
        <v>27</v>
      </c>
      <c r="O10" s="15" t="s">
        <v>28</v>
      </c>
    </row>
    <row r="11" ht="27.75" customHeight="1">
      <c r="A11" s="21" t="s">
        <v>45</v>
      </c>
      <c r="B11" s="20">
        <v>7.0</v>
      </c>
      <c r="C11" s="21" t="s">
        <v>72</v>
      </c>
      <c r="D11" s="22" t="s">
        <v>73</v>
      </c>
      <c r="E11" s="20">
        <v>2.0</v>
      </c>
      <c r="F11" s="10" t="s">
        <v>74</v>
      </c>
      <c r="G11" s="24" t="s">
        <v>65</v>
      </c>
      <c r="H11" s="12" t="s">
        <v>75</v>
      </c>
      <c r="I11" s="12" t="s">
        <v>76</v>
      </c>
      <c r="J11" s="12" t="s">
        <v>77</v>
      </c>
      <c r="K11" s="12" t="s">
        <v>78</v>
      </c>
      <c r="L11" s="13"/>
      <c r="M11" s="13"/>
      <c r="N11" s="14" t="s">
        <v>27</v>
      </c>
      <c r="O11" s="15" t="s">
        <v>28</v>
      </c>
    </row>
    <row r="12" ht="27.75" customHeight="1">
      <c r="A12" s="25" t="s">
        <v>79</v>
      </c>
      <c r="B12" s="26">
        <v>8.0</v>
      </c>
      <c r="C12" s="27" t="s">
        <v>80</v>
      </c>
      <c r="D12" s="28" t="s">
        <v>81</v>
      </c>
      <c r="E12" s="26">
        <v>2.0</v>
      </c>
      <c r="F12" s="10" t="s">
        <v>82</v>
      </c>
      <c r="G12" s="18" t="s">
        <v>40</v>
      </c>
      <c r="H12" s="12" t="s">
        <v>83</v>
      </c>
      <c r="I12" s="12" t="s">
        <v>84</v>
      </c>
      <c r="J12" s="12" t="s">
        <v>85</v>
      </c>
      <c r="K12" s="12" t="s">
        <v>86</v>
      </c>
      <c r="L12" s="13"/>
      <c r="M12" s="13"/>
      <c r="N12" s="14" t="s">
        <v>27</v>
      </c>
      <c r="O12" s="15" t="s">
        <v>28</v>
      </c>
    </row>
    <row r="13" ht="27.75" customHeight="1">
      <c r="A13" s="27" t="s">
        <v>79</v>
      </c>
      <c r="B13" s="26">
        <v>9.0</v>
      </c>
      <c r="C13" s="27" t="s">
        <v>87</v>
      </c>
      <c r="D13" s="28" t="s">
        <v>88</v>
      </c>
      <c r="E13" s="26">
        <v>2.0</v>
      </c>
      <c r="F13" s="10" t="s">
        <v>89</v>
      </c>
      <c r="G13" s="16" t="s">
        <v>32</v>
      </c>
      <c r="H13" s="12" t="s">
        <v>90</v>
      </c>
      <c r="I13" s="12" t="s">
        <v>91</v>
      </c>
      <c r="J13" s="12" t="s">
        <v>92</v>
      </c>
      <c r="K13" s="12" t="s">
        <v>93</v>
      </c>
      <c r="L13" s="29"/>
      <c r="M13" s="13"/>
      <c r="N13" s="14" t="s">
        <v>27</v>
      </c>
      <c r="O13" s="15" t="s">
        <v>28</v>
      </c>
    </row>
    <row r="14" ht="22.5" customHeight="1">
      <c r="A14" s="27" t="s">
        <v>79</v>
      </c>
      <c r="B14" s="26">
        <v>10.0</v>
      </c>
      <c r="C14" s="27" t="s">
        <v>94</v>
      </c>
      <c r="D14" s="28" t="s">
        <v>95</v>
      </c>
      <c r="E14" s="26">
        <v>2.0</v>
      </c>
      <c r="F14" s="30" t="s">
        <v>96</v>
      </c>
      <c r="G14" s="31" t="s">
        <v>97</v>
      </c>
      <c r="H14" s="12" t="s">
        <v>98</v>
      </c>
      <c r="I14" s="12" t="s">
        <v>99</v>
      </c>
      <c r="J14" s="12" t="s">
        <v>100</v>
      </c>
      <c r="K14" s="12" t="s">
        <v>101</v>
      </c>
      <c r="L14" s="13"/>
      <c r="M14" s="13"/>
      <c r="N14" s="32" t="s">
        <v>102</v>
      </c>
      <c r="O14" s="15" t="s">
        <v>28</v>
      </c>
    </row>
    <row r="15" ht="27.75" customHeight="1">
      <c r="A15" s="33" t="s">
        <v>103</v>
      </c>
      <c r="B15" s="34">
        <v>11.0</v>
      </c>
      <c r="C15" s="35" t="s">
        <v>104</v>
      </c>
      <c r="D15" s="35" t="s">
        <v>105</v>
      </c>
      <c r="E15" s="34">
        <v>2.0</v>
      </c>
      <c r="F15" s="30" t="s">
        <v>106</v>
      </c>
      <c r="G15" s="24" t="s">
        <v>65</v>
      </c>
      <c r="H15" s="12" t="s">
        <v>107</v>
      </c>
      <c r="I15" s="12" t="s">
        <v>108</v>
      </c>
      <c r="J15" s="12" t="s">
        <v>109</v>
      </c>
      <c r="K15" s="12" t="s">
        <v>110</v>
      </c>
      <c r="L15" s="13"/>
      <c r="M15" s="13"/>
      <c r="N15" s="32" t="s">
        <v>102</v>
      </c>
      <c r="O15" s="15" t="s">
        <v>28</v>
      </c>
    </row>
    <row r="16" ht="27.75" customHeight="1">
      <c r="A16" s="35" t="s">
        <v>103</v>
      </c>
      <c r="B16" s="34">
        <v>12.0</v>
      </c>
      <c r="C16" s="35" t="s">
        <v>111</v>
      </c>
      <c r="D16" s="35" t="s">
        <v>112</v>
      </c>
      <c r="E16" s="34">
        <v>2.0</v>
      </c>
      <c r="F16" s="30" t="s">
        <v>113</v>
      </c>
      <c r="G16" s="16" t="s">
        <v>32</v>
      </c>
      <c r="H16" s="12" t="s">
        <v>114</v>
      </c>
      <c r="I16" s="12" t="s">
        <v>115</v>
      </c>
      <c r="J16" s="12" t="s">
        <v>116</v>
      </c>
      <c r="K16" s="12" t="s">
        <v>117</v>
      </c>
      <c r="L16" s="13"/>
      <c r="M16" s="13"/>
      <c r="N16" s="32" t="s">
        <v>102</v>
      </c>
      <c r="O16" s="15" t="s">
        <v>28</v>
      </c>
    </row>
    <row r="17" ht="27.75" customHeight="1">
      <c r="A17" s="35" t="s">
        <v>103</v>
      </c>
      <c r="B17" s="34">
        <v>13.0</v>
      </c>
      <c r="C17" s="35" t="s">
        <v>118</v>
      </c>
      <c r="D17" s="35" t="s">
        <v>119</v>
      </c>
      <c r="E17" s="34">
        <v>2.0</v>
      </c>
      <c r="F17" s="30" t="s">
        <v>120</v>
      </c>
      <c r="G17" s="18" t="s">
        <v>40</v>
      </c>
      <c r="H17" s="12" t="s">
        <v>121</v>
      </c>
      <c r="I17" s="12" t="s">
        <v>122</v>
      </c>
      <c r="J17" s="12"/>
      <c r="K17" s="36"/>
      <c r="L17" s="13"/>
      <c r="M17" s="13"/>
      <c r="N17" s="32" t="s">
        <v>102</v>
      </c>
      <c r="O17" s="15" t="s">
        <v>28</v>
      </c>
    </row>
    <row r="18" ht="27.75" customHeight="1">
      <c r="A18" s="37" t="s">
        <v>123</v>
      </c>
      <c r="B18" s="38">
        <v>14.0</v>
      </c>
      <c r="C18" s="39" t="s">
        <v>124</v>
      </c>
      <c r="D18" s="40" t="s">
        <v>125</v>
      </c>
      <c r="E18" s="34">
        <v>2.0</v>
      </c>
      <c r="F18" s="30" t="s">
        <v>126</v>
      </c>
      <c r="G18" s="31" t="s">
        <v>97</v>
      </c>
      <c r="H18" s="41" t="s">
        <v>127</v>
      </c>
      <c r="I18" s="12" t="s">
        <v>128</v>
      </c>
      <c r="J18" s="12" t="s">
        <v>129</v>
      </c>
      <c r="K18" s="12" t="s">
        <v>130</v>
      </c>
      <c r="L18" s="12" t="s">
        <v>131</v>
      </c>
      <c r="M18" s="12" t="s">
        <v>132</v>
      </c>
      <c r="N18" s="32" t="s">
        <v>102</v>
      </c>
      <c r="O18" s="15" t="s">
        <v>28</v>
      </c>
    </row>
    <row r="19" ht="27.75" customHeight="1">
      <c r="A19" s="39" t="s">
        <v>123</v>
      </c>
      <c r="B19" s="38">
        <v>15.0</v>
      </c>
      <c r="C19" s="39" t="s">
        <v>133</v>
      </c>
      <c r="D19" s="40" t="s">
        <v>134</v>
      </c>
      <c r="E19" s="34">
        <v>2.0</v>
      </c>
      <c r="F19" s="30" t="s">
        <v>135</v>
      </c>
      <c r="G19" s="42" t="s">
        <v>136</v>
      </c>
      <c r="H19" s="12" t="s">
        <v>137</v>
      </c>
      <c r="I19" s="12" t="s">
        <v>138</v>
      </c>
      <c r="J19" s="36"/>
      <c r="K19" s="36"/>
      <c r="L19" s="36"/>
      <c r="M19" s="36"/>
      <c r="N19" s="32" t="s">
        <v>102</v>
      </c>
      <c r="O19" s="15" t="s">
        <v>28</v>
      </c>
    </row>
    <row r="20" ht="27.75" customHeight="1">
      <c r="A20" s="39" t="s">
        <v>123</v>
      </c>
      <c r="B20" s="38">
        <v>16.0</v>
      </c>
      <c r="C20" s="39" t="s">
        <v>139</v>
      </c>
      <c r="D20" s="40" t="s">
        <v>140</v>
      </c>
      <c r="E20" s="34">
        <v>2.0</v>
      </c>
      <c r="F20" s="30" t="s">
        <v>141</v>
      </c>
      <c r="G20" s="43" t="s">
        <v>142</v>
      </c>
      <c r="H20" s="36"/>
      <c r="I20" s="36"/>
      <c r="J20" s="36"/>
      <c r="K20" s="36"/>
      <c r="L20" s="36"/>
      <c r="M20" s="36"/>
      <c r="N20" s="32" t="s">
        <v>102</v>
      </c>
      <c r="O20" s="15" t="s">
        <v>28</v>
      </c>
    </row>
    <row r="21" ht="15.75" customHeight="1"/>
    <row r="22" ht="15.75" customHeight="1">
      <c r="A22" s="44" t="s">
        <v>143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O1"/>
    <mergeCell ref="A2:O2"/>
    <mergeCell ref="A3:O3"/>
    <mergeCell ref="A22:O22"/>
  </mergeCells>
  <conditionalFormatting sqref="O5:O20">
    <cfRule type="expression" dxfId="0" priority="1">
      <formula>$O5="Confirmed"</formula>
    </cfRule>
  </conditionalFormatting>
  <conditionalFormatting sqref="O5:O20">
    <cfRule type="expression" dxfId="1" priority="2">
      <formula>$O5="Taken"</formula>
    </cfRule>
  </conditionalFormatting>
  <dataValidations>
    <dataValidation type="list" allowBlank="1" sqref="O5:O20">
      <formula1>"Open,Taken,Confirmed"</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5.0"/>
    <col customWidth="1" min="3" max="3" width="26.0"/>
    <col customWidth="1" min="4" max="4" width="7.0"/>
    <col customWidth="1" min="5" max="5" width="16.0"/>
    <col customWidth="1" min="6" max="6" width="55.0"/>
    <col customWidth="1" min="7" max="7" width="56.71"/>
    <col customWidth="1" min="8" max="26" width="8.86"/>
  </cols>
  <sheetData>
    <row r="1" ht="24.0" customHeight="1">
      <c r="A1" s="45" t="s">
        <v>144</v>
      </c>
      <c r="B1" s="2"/>
      <c r="C1" s="2"/>
      <c r="D1" s="2"/>
      <c r="E1" s="2"/>
      <c r="F1" s="2"/>
      <c r="G1" s="3"/>
    </row>
    <row r="2" ht="19.5" customHeight="1">
      <c r="A2" s="46" t="s">
        <v>145</v>
      </c>
      <c r="B2" s="2"/>
      <c r="C2" s="2"/>
      <c r="D2" s="2"/>
      <c r="E2" s="2"/>
      <c r="F2" s="2"/>
      <c r="G2" s="3"/>
    </row>
    <row r="3" ht="30.0" customHeight="1">
      <c r="A3" s="6" t="s">
        <v>146</v>
      </c>
      <c r="B3" s="6" t="s">
        <v>4</v>
      </c>
      <c r="C3" s="6" t="s">
        <v>5</v>
      </c>
      <c r="D3" s="6" t="s">
        <v>7</v>
      </c>
      <c r="E3" s="6" t="s">
        <v>147</v>
      </c>
      <c r="F3" s="6" t="s">
        <v>148</v>
      </c>
      <c r="G3" s="6" t="s">
        <v>149</v>
      </c>
    </row>
    <row r="4" ht="75.0" customHeight="1">
      <c r="A4" s="47" t="s">
        <v>150</v>
      </c>
      <c r="B4" s="48">
        <v>1.0</v>
      </c>
      <c r="C4" s="49" t="s">
        <v>19</v>
      </c>
      <c r="D4" s="8" t="s">
        <v>151</v>
      </c>
      <c r="E4" s="50" t="s">
        <v>22</v>
      </c>
      <c r="F4" s="51" t="s">
        <v>152</v>
      </c>
      <c r="G4" s="52" t="str">
        <f>IF('Sign-Up'!H5&lt;&gt;"", 'Sign-Up'!H5&amp;" / "&amp;'Sign-Up'!J5, "— not yet signed up —")</f>
        <v>Thomas Bröse / Simona Kals</v>
      </c>
    </row>
    <row r="5" ht="75.0" customHeight="1">
      <c r="A5" s="47" t="s">
        <v>153</v>
      </c>
      <c r="B5" s="48">
        <v>2.0</v>
      </c>
      <c r="C5" s="49" t="s">
        <v>29</v>
      </c>
      <c r="D5" s="8" t="s">
        <v>151</v>
      </c>
      <c r="E5" s="53" t="s">
        <v>32</v>
      </c>
      <c r="F5" s="51" t="s">
        <v>154</v>
      </c>
      <c r="G5" s="52" t="str">
        <f>IF('Sign-Up'!H6&lt;&gt;"", 'Sign-Up'!H6&amp;" / "&amp;'Sign-Up'!J6, "— not yet signed up —")</f>
        <v>Daniel Schumacher / Timo Ercole</v>
      </c>
    </row>
    <row r="6" ht="75.0" customHeight="1">
      <c r="A6" s="47" t="s">
        <v>155</v>
      </c>
      <c r="B6" s="48">
        <v>3.0</v>
      </c>
      <c r="C6" s="49" t="s">
        <v>37</v>
      </c>
      <c r="D6" s="8" t="s">
        <v>151</v>
      </c>
      <c r="E6" s="54" t="s">
        <v>40</v>
      </c>
      <c r="F6" s="51" t="s">
        <v>156</v>
      </c>
      <c r="G6" s="52" t="str">
        <f>IF('Sign-Up'!H7&lt;&gt;"", 'Sign-Up'!H7&amp;" / "&amp;'Sign-Up'!J7, "— not yet signed up —")</f>
        <v>Michael Sova / Yannick Herrmann</v>
      </c>
    </row>
    <row r="7" ht="75.0" customHeight="1">
      <c r="A7" s="47" t="s">
        <v>157</v>
      </c>
      <c r="B7" s="55">
        <v>4.0</v>
      </c>
      <c r="C7" s="56" t="s">
        <v>46</v>
      </c>
      <c r="D7" s="23" t="s">
        <v>158</v>
      </c>
      <c r="E7" s="50" t="s">
        <v>22</v>
      </c>
      <c r="F7" s="51" t="s">
        <v>159</v>
      </c>
      <c r="G7" s="52" t="str">
        <f>IF('Sign-Up'!H8&lt;&gt;"", 'Sign-Up'!H8&amp;" / "&amp;'Sign-Up'!J8, "— not yet signed up —")</f>
        <v>Leander Kilian / Laurin Strobel </v>
      </c>
    </row>
    <row r="8" ht="13.5" customHeight="1">
      <c r="A8" s="57" t="s">
        <v>160</v>
      </c>
      <c r="B8" s="58"/>
      <c r="C8" s="58"/>
      <c r="D8" s="58"/>
      <c r="E8" s="58"/>
      <c r="F8" s="58"/>
      <c r="G8" s="59"/>
    </row>
    <row r="9" ht="75.0" customHeight="1">
      <c r="A9" s="47" t="s">
        <v>161</v>
      </c>
      <c r="B9" s="55">
        <v>5.0</v>
      </c>
      <c r="C9" s="56" t="s">
        <v>55</v>
      </c>
      <c r="D9" s="20" t="s">
        <v>151</v>
      </c>
      <c r="E9" s="50" t="s">
        <v>22</v>
      </c>
      <c r="F9" s="51" t="s">
        <v>162</v>
      </c>
      <c r="G9" s="52" t="str">
        <f>IF('Sign-Up'!H9&lt;&gt;"", 'Sign-Up'!H9&amp;" / "&amp;'Sign-Up'!J9, "— not yet signed up —")</f>
        <v>Nils Bringewatt  / Jakob Jetter</v>
      </c>
    </row>
    <row r="10" ht="75.0" customHeight="1">
      <c r="A10" s="47" t="s">
        <v>163</v>
      </c>
      <c r="B10" s="55">
        <v>7.0</v>
      </c>
      <c r="C10" s="56" t="s">
        <v>72</v>
      </c>
      <c r="D10" s="20" t="s">
        <v>151</v>
      </c>
      <c r="E10" s="60" t="s">
        <v>65</v>
      </c>
      <c r="F10" s="51" t="s">
        <v>164</v>
      </c>
      <c r="G10" s="52" t="str">
        <f>IF('Sign-Up'!H11&lt;&gt;"", 'Sign-Up'!H11&amp;" / "&amp;'Sign-Up'!J11, "— not yet signed up —")</f>
        <v>Christian Sahler / Mengyang Li</v>
      </c>
    </row>
    <row r="11" ht="75.0" customHeight="1">
      <c r="A11" s="47" t="s">
        <v>165</v>
      </c>
      <c r="B11" s="61">
        <v>8.0</v>
      </c>
      <c r="C11" s="62" t="s">
        <v>80</v>
      </c>
      <c r="D11" s="26" t="s">
        <v>151</v>
      </c>
      <c r="E11" s="54" t="s">
        <v>40</v>
      </c>
      <c r="F11" s="51" t="s">
        <v>166</v>
      </c>
      <c r="G11" s="52" t="str">
        <f>IF('Sign-Up'!H12&lt;&gt;"", 'Sign-Up'!H12&amp;" / "&amp;'Sign-Up'!J12, "— not yet signed up —")</f>
        <v>Sarah Löhnert / Elisabeth Stein</v>
      </c>
    </row>
    <row r="12" ht="75.0" customHeight="1">
      <c r="A12" s="47" t="s">
        <v>167</v>
      </c>
      <c r="B12" s="61">
        <v>9.0</v>
      </c>
      <c r="C12" s="62" t="s">
        <v>87</v>
      </c>
      <c r="D12" s="26" t="s">
        <v>151</v>
      </c>
      <c r="E12" s="53" t="s">
        <v>32</v>
      </c>
      <c r="F12" s="51" t="s">
        <v>168</v>
      </c>
      <c r="G12" s="52" t="str">
        <f>IF('Sign-Up'!H13&lt;&gt;"", 'Sign-Up'!H13&amp;" / "&amp;'Sign-Up'!J13, "— not yet signed up —")</f>
        <v>Yakup Kula / David Cheung</v>
      </c>
    </row>
    <row r="13" ht="19.5" customHeight="1">
      <c r="A13" s="63" t="s">
        <v>169</v>
      </c>
      <c r="B13" s="2"/>
      <c r="C13" s="2"/>
      <c r="D13" s="2"/>
      <c r="E13" s="2"/>
      <c r="F13" s="2"/>
      <c r="G13" s="3"/>
    </row>
    <row r="14" ht="75.0" customHeight="1">
      <c r="A14" s="64" t="s">
        <v>170</v>
      </c>
      <c r="B14" s="61">
        <v>10.0</v>
      </c>
      <c r="C14" s="62" t="s">
        <v>94</v>
      </c>
      <c r="D14" s="26" t="s">
        <v>151</v>
      </c>
      <c r="E14" s="65" t="s">
        <v>97</v>
      </c>
      <c r="F14" s="51" t="s">
        <v>171</v>
      </c>
      <c r="G14" s="52" t="str">
        <f>IF('Sign-Up'!H14&lt;&gt;"", 'Sign-Up'!H14&amp;" / "&amp;'Sign-Up'!J14, "— not yet signed up —")</f>
        <v>Marie-Luise Schweizer / Celina Julia Schwarz</v>
      </c>
    </row>
    <row r="15" ht="75.0" customHeight="1">
      <c r="A15" s="64" t="s">
        <v>172</v>
      </c>
      <c r="B15" s="66">
        <v>11.0</v>
      </c>
      <c r="C15" s="67" t="s">
        <v>104</v>
      </c>
      <c r="D15" s="34" t="s">
        <v>151</v>
      </c>
      <c r="E15" s="60" t="s">
        <v>65</v>
      </c>
      <c r="F15" s="51" t="s">
        <v>173</v>
      </c>
      <c r="G15" s="52" t="str">
        <f>IF('Sign-Up'!H15&lt;&gt;"", 'Sign-Up'!H15&amp;" / "&amp;'Sign-Up'!J15, "— not yet signed up —")</f>
        <v>Martin Nikoljacic / Hendrik Mehl</v>
      </c>
    </row>
    <row r="16" ht="75.0" customHeight="1">
      <c r="A16" s="64" t="s">
        <v>174</v>
      </c>
      <c r="B16" s="66">
        <v>12.0</v>
      </c>
      <c r="C16" s="67" t="s">
        <v>111</v>
      </c>
      <c r="D16" s="34" t="s">
        <v>151</v>
      </c>
      <c r="E16" s="53" t="s">
        <v>32</v>
      </c>
      <c r="F16" s="51" t="s">
        <v>175</v>
      </c>
      <c r="G16" s="52" t="str">
        <f>IF('Sign-Up'!H16&lt;&gt;"", 'Sign-Up'!H16&amp;" / "&amp;'Sign-Up'!J16, "— not yet signed up —")</f>
        <v>Faryan Adib Basmenj / Kasra Mohebian</v>
      </c>
    </row>
    <row r="17" ht="75.0" customHeight="1">
      <c r="A17" s="68" t="s">
        <v>176</v>
      </c>
      <c r="B17" s="58"/>
      <c r="C17" s="58"/>
      <c r="D17" s="58"/>
      <c r="E17" s="58"/>
      <c r="F17" s="58"/>
      <c r="G17" s="59"/>
    </row>
    <row r="18" ht="75.0" customHeight="1">
      <c r="A18" s="64" t="s">
        <v>177</v>
      </c>
      <c r="B18" s="69">
        <v>14.0</v>
      </c>
      <c r="C18" s="70" t="s">
        <v>124</v>
      </c>
      <c r="D18" s="71" t="s">
        <v>158</v>
      </c>
      <c r="E18" s="65" t="s">
        <v>97</v>
      </c>
      <c r="F18" s="51" t="s">
        <v>178</v>
      </c>
      <c r="G18" s="52" t="str">
        <f>IF('Sign-Up'!H18&lt;&gt;"", 'Sign-Up'!H18&amp;" / "&amp;'Sign-Up'!J18, "— not yet signed up —")</f>
        <v>--- Zuraiz / Hammad Anwar</v>
      </c>
    </row>
    <row r="19" ht="75.0" customHeight="1">
      <c r="A19" s="64" t="s">
        <v>179</v>
      </c>
      <c r="B19" s="69">
        <v>15.0</v>
      </c>
      <c r="C19" s="70" t="s">
        <v>133</v>
      </c>
      <c r="D19" s="71" t="s">
        <v>158</v>
      </c>
      <c r="E19" s="72" t="s">
        <v>136</v>
      </c>
      <c r="F19" s="51" t="s">
        <v>180</v>
      </c>
      <c r="G19" s="52" t="str">
        <f>IF('Sign-Up'!H19&lt;&gt;"", 'Sign-Up'!H19&amp;" / "&amp;'Sign-Up'!J19, "— not yet signed up —")</f>
        <v>Esmaeil Molapour / </v>
      </c>
    </row>
    <row r="20" ht="75.0" customHeight="1">
      <c r="A20" s="64" t="s">
        <v>181</v>
      </c>
      <c r="B20" s="69">
        <v>16.0</v>
      </c>
      <c r="C20" s="70" t="s">
        <v>139</v>
      </c>
      <c r="D20" s="71" t="s">
        <v>158</v>
      </c>
      <c r="E20" s="73" t="s">
        <v>142</v>
      </c>
      <c r="F20" s="51" t="s">
        <v>182</v>
      </c>
      <c r="G20" s="52" t="str">
        <f>IF('Sign-Up'!H20&lt;&gt;"", 'Sign-Up'!H20&amp;" / "&amp;'Sign-Up'!J20, "— not yet signed up —")</f>
        <v>— not yet signed up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2:G2"/>
    <mergeCell ref="A13:G13"/>
    <mergeCell ref="A17:G17"/>
    <mergeCell ref="A8:G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24.0"/>
    <col customWidth="1" min="2" max="2" width="26.57"/>
    <col customWidth="1" min="3" max="3" width="0.43"/>
    <col customWidth="1" min="4" max="4" width="13.0"/>
    <col customWidth="1" min="5" max="5" width="16.0"/>
    <col customWidth="1" min="6" max="6" width="22.0"/>
    <col customWidth="1" min="7" max="7" width="10.0"/>
    <col customWidth="1" min="8" max="8" width="12.0"/>
    <col customWidth="1" min="9" max="10" width="14.0"/>
    <col customWidth="1" min="11" max="11" width="20.0"/>
    <col customWidth="1" min="12" max="12" width="14.0"/>
    <col customWidth="1" min="13" max="13" width="16.0"/>
    <col customWidth="1" min="14" max="14" width="20.0"/>
    <col customWidth="1" min="15" max="15" width="13.0"/>
    <col customWidth="1" min="16" max="16" width="22.0"/>
    <col customWidth="1" min="17" max="26" width="8.86"/>
  </cols>
  <sheetData>
    <row r="1" ht="24.0" customHeight="1">
      <c r="A1" s="45" t="s">
        <v>183</v>
      </c>
      <c r="B1" s="2"/>
      <c r="C1" s="2"/>
      <c r="D1" s="2"/>
      <c r="E1" s="2"/>
      <c r="F1" s="2"/>
      <c r="G1" s="2"/>
      <c r="H1" s="2"/>
      <c r="I1" s="2"/>
      <c r="J1" s="2"/>
      <c r="K1" s="2"/>
      <c r="L1" s="2"/>
      <c r="M1" s="2"/>
      <c r="N1" s="2"/>
      <c r="O1" s="2"/>
      <c r="P1" s="3"/>
    </row>
    <row r="2" ht="18.0" customHeight="1">
      <c r="A2" s="74" t="s">
        <v>184</v>
      </c>
      <c r="B2" s="2"/>
      <c r="C2" s="2"/>
      <c r="D2" s="2"/>
      <c r="E2" s="2"/>
      <c r="F2" s="2"/>
      <c r="G2" s="2"/>
      <c r="H2" s="2"/>
      <c r="I2" s="2"/>
      <c r="J2" s="2"/>
      <c r="K2" s="2"/>
      <c r="L2" s="2"/>
      <c r="M2" s="2"/>
      <c r="N2" s="2"/>
      <c r="O2" s="2"/>
      <c r="P2" s="3"/>
    </row>
    <row r="3" ht="19.5" customHeight="1">
      <c r="A3" s="75" t="s">
        <v>185</v>
      </c>
      <c r="B3" s="2"/>
      <c r="C3" s="3"/>
      <c r="D3" s="76" t="s">
        <v>186</v>
      </c>
      <c r="E3" s="2"/>
      <c r="F3" s="2"/>
      <c r="G3" s="3"/>
      <c r="H3" s="77" t="s">
        <v>187</v>
      </c>
      <c r="I3" s="2"/>
      <c r="J3" s="2"/>
      <c r="K3" s="3"/>
      <c r="L3" s="78" t="s">
        <v>188</v>
      </c>
      <c r="M3" s="2"/>
      <c r="N3" s="3"/>
      <c r="O3" s="79" t="s">
        <v>189</v>
      </c>
      <c r="P3" s="3"/>
    </row>
    <row r="4" ht="31.5" customHeight="1">
      <c r="A4" s="80" t="s">
        <v>190</v>
      </c>
      <c r="B4" s="80" t="s">
        <v>191</v>
      </c>
      <c r="C4" s="80" t="s">
        <v>192</v>
      </c>
      <c r="D4" s="81" t="s">
        <v>193</v>
      </c>
      <c r="E4" s="81" t="s">
        <v>194</v>
      </c>
      <c r="F4" s="81" t="s">
        <v>195</v>
      </c>
      <c r="G4" s="81" t="s">
        <v>196</v>
      </c>
      <c r="H4" s="82" t="s">
        <v>197</v>
      </c>
      <c r="I4" s="82" t="s">
        <v>198</v>
      </c>
      <c r="J4" s="82" t="s">
        <v>199</v>
      </c>
      <c r="K4" s="82" t="s">
        <v>200</v>
      </c>
      <c r="L4" s="83" t="s">
        <v>201</v>
      </c>
      <c r="M4" s="83" t="s">
        <v>202</v>
      </c>
      <c r="N4" s="83" t="s">
        <v>195</v>
      </c>
      <c r="O4" s="84" t="s">
        <v>203</v>
      </c>
      <c r="P4" s="84" t="s">
        <v>195</v>
      </c>
    </row>
    <row r="5" ht="19.5" customHeight="1">
      <c r="A5" s="85" t="s">
        <v>204</v>
      </c>
      <c r="B5" s="85" t="s">
        <v>115</v>
      </c>
      <c r="C5" s="86"/>
      <c r="D5" s="85" t="s">
        <v>205</v>
      </c>
      <c r="E5" s="86"/>
      <c r="F5" s="86"/>
      <c r="G5" s="85" t="s">
        <v>206</v>
      </c>
      <c r="H5" s="86"/>
      <c r="I5" s="85">
        <v>9.25</v>
      </c>
      <c r="J5" s="85" t="s">
        <v>207</v>
      </c>
      <c r="K5" s="85" t="s">
        <v>208</v>
      </c>
      <c r="L5" s="85" t="s">
        <v>209</v>
      </c>
      <c r="M5" s="86"/>
      <c r="N5" s="85" t="s">
        <v>210</v>
      </c>
      <c r="O5" s="86"/>
      <c r="P5" s="85" t="s">
        <v>211</v>
      </c>
    </row>
    <row r="6" ht="19.5" customHeight="1">
      <c r="A6" s="87" t="s">
        <v>70</v>
      </c>
      <c r="B6" s="87" t="s">
        <v>212</v>
      </c>
      <c r="C6" s="88"/>
      <c r="D6" s="87" t="s">
        <v>205</v>
      </c>
      <c r="E6" s="88"/>
      <c r="F6" s="88"/>
      <c r="G6" s="87" t="s">
        <v>206</v>
      </c>
      <c r="H6" s="88"/>
      <c r="I6" s="87" t="s">
        <v>213</v>
      </c>
      <c r="J6" s="87" t="s">
        <v>214</v>
      </c>
      <c r="K6" s="87" t="s">
        <v>215</v>
      </c>
      <c r="L6" s="87" t="s">
        <v>209</v>
      </c>
      <c r="M6" s="85" t="s">
        <v>216</v>
      </c>
      <c r="N6" s="87"/>
      <c r="O6" s="88"/>
      <c r="P6" s="85" t="s">
        <v>217</v>
      </c>
    </row>
    <row r="7" ht="19.5" customHeight="1">
      <c r="A7" s="85" t="s">
        <v>218</v>
      </c>
      <c r="B7" s="85" t="s">
        <v>69</v>
      </c>
      <c r="C7" s="86"/>
      <c r="D7" s="85" t="s">
        <v>205</v>
      </c>
      <c r="E7" s="86"/>
      <c r="F7" s="85" t="s">
        <v>219</v>
      </c>
      <c r="G7" s="85" t="s">
        <v>206</v>
      </c>
      <c r="H7" s="86"/>
      <c r="I7" s="85" t="s">
        <v>220</v>
      </c>
      <c r="J7" s="85" t="s">
        <v>214</v>
      </c>
      <c r="K7" s="85" t="s">
        <v>221</v>
      </c>
      <c r="L7" s="85" t="s">
        <v>209</v>
      </c>
      <c r="M7" s="87" t="s">
        <v>222</v>
      </c>
      <c r="N7" s="85" t="s">
        <v>223</v>
      </c>
      <c r="O7" s="86"/>
      <c r="P7" s="85" t="s">
        <v>217</v>
      </c>
    </row>
    <row r="8" ht="19.5" customHeight="1">
      <c r="A8" s="87" t="s">
        <v>224</v>
      </c>
      <c r="B8" s="87" t="s">
        <v>52</v>
      </c>
      <c r="C8" s="88"/>
      <c r="D8" s="87" t="s">
        <v>205</v>
      </c>
      <c r="E8" s="88"/>
      <c r="F8" s="88"/>
      <c r="G8" s="87" t="s">
        <v>206</v>
      </c>
      <c r="H8" s="87" t="s">
        <v>225</v>
      </c>
      <c r="I8" s="87">
        <v>6.25</v>
      </c>
      <c r="J8" s="88"/>
      <c r="K8" s="88"/>
      <c r="L8" s="87" t="s">
        <v>226</v>
      </c>
      <c r="M8" s="88"/>
      <c r="N8" s="87" t="s">
        <v>227</v>
      </c>
      <c r="O8" s="87" t="s">
        <v>228</v>
      </c>
      <c r="P8" s="88"/>
    </row>
    <row r="9" ht="19.5" customHeight="1">
      <c r="A9" s="85" t="s">
        <v>107</v>
      </c>
      <c r="B9" s="85" t="s">
        <v>108</v>
      </c>
      <c r="C9" s="86"/>
      <c r="D9" s="85" t="s">
        <v>205</v>
      </c>
      <c r="E9" s="86"/>
      <c r="F9" s="86"/>
      <c r="G9" s="85" t="s">
        <v>206</v>
      </c>
      <c r="H9" s="86"/>
      <c r="I9" s="85" t="s">
        <v>229</v>
      </c>
      <c r="J9" s="86"/>
      <c r="K9" s="86"/>
      <c r="L9" s="85" t="s">
        <v>230</v>
      </c>
      <c r="M9" s="85" t="s">
        <v>216</v>
      </c>
      <c r="N9" s="85" t="s">
        <v>231</v>
      </c>
      <c r="O9" s="86"/>
      <c r="P9" s="86"/>
    </row>
    <row r="10" ht="19.5" customHeight="1">
      <c r="A10" s="87" t="s">
        <v>49</v>
      </c>
      <c r="B10" s="87" t="s">
        <v>50</v>
      </c>
      <c r="C10" s="88"/>
      <c r="D10" s="87" t="s">
        <v>205</v>
      </c>
      <c r="E10" s="88"/>
      <c r="F10" s="88"/>
      <c r="G10" s="87" t="s">
        <v>206</v>
      </c>
      <c r="H10" s="88"/>
      <c r="I10" s="87" t="s">
        <v>232</v>
      </c>
      <c r="J10" s="88"/>
      <c r="K10" s="88"/>
      <c r="L10" s="87" t="s">
        <v>209</v>
      </c>
      <c r="M10" s="87" t="s">
        <v>233</v>
      </c>
      <c r="N10" s="88"/>
      <c r="O10" s="88"/>
      <c r="P10" s="87" t="s">
        <v>234</v>
      </c>
    </row>
    <row r="11" ht="19.5" customHeight="1">
      <c r="A11" s="85" t="s">
        <v>92</v>
      </c>
      <c r="B11" s="85" t="s">
        <v>93</v>
      </c>
      <c r="C11" s="86"/>
      <c r="D11" s="85" t="s">
        <v>205</v>
      </c>
      <c r="E11" s="86"/>
      <c r="F11" s="86"/>
      <c r="G11" s="85" t="s">
        <v>206</v>
      </c>
      <c r="H11" s="86"/>
      <c r="I11" s="85" t="s">
        <v>235</v>
      </c>
      <c r="J11" s="86"/>
      <c r="K11" s="85" t="s">
        <v>236</v>
      </c>
      <c r="L11" s="85" t="s">
        <v>209</v>
      </c>
      <c r="M11" s="85" t="s">
        <v>233</v>
      </c>
      <c r="N11" s="85" t="s">
        <v>237</v>
      </c>
      <c r="O11" s="86"/>
      <c r="P11" s="85" t="s">
        <v>238</v>
      </c>
    </row>
    <row r="12" ht="19.5" customHeight="1">
      <c r="A12" s="87" t="s">
        <v>60</v>
      </c>
      <c r="B12" s="87" t="s">
        <v>61</v>
      </c>
      <c r="C12" s="88"/>
      <c r="D12" s="87" t="s">
        <v>205</v>
      </c>
      <c r="E12" s="88"/>
      <c r="F12" s="87" t="s">
        <v>239</v>
      </c>
      <c r="G12" s="87" t="s">
        <v>206</v>
      </c>
      <c r="H12" s="88"/>
      <c r="I12" s="87" t="s">
        <v>240</v>
      </c>
      <c r="J12" s="87" t="s">
        <v>241</v>
      </c>
      <c r="K12" s="87" t="s">
        <v>236</v>
      </c>
      <c r="L12" s="87" t="s">
        <v>209</v>
      </c>
      <c r="M12" s="87" t="s">
        <v>242</v>
      </c>
      <c r="N12" s="87" t="s">
        <v>243</v>
      </c>
      <c r="O12" s="88"/>
      <c r="P12" s="87" t="s">
        <v>244</v>
      </c>
    </row>
    <row r="13" ht="19.5" customHeight="1">
      <c r="A13" s="85" t="s">
        <v>41</v>
      </c>
      <c r="B13" s="85" t="s">
        <v>42</v>
      </c>
      <c r="C13" s="86"/>
      <c r="D13" s="85" t="s">
        <v>205</v>
      </c>
      <c r="E13" s="86"/>
      <c r="F13" s="85" t="s">
        <v>245</v>
      </c>
      <c r="G13" s="85" t="s">
        <v>206</v>
      </c>
      <c r="H13" s="86"/>
      <c r="I13" s="85" t="s">
        <v>246</v>
      </c>
      <c r="J13" s="85" t="s">
        <v>241</v>
      </c>
      <c r="K13" s="85" t="s">
        <v>247</v>
      </c>
      <c r="L13" s="85" t="s">
        <v>209</v>
      </c>
      <c r="M13" s="85" t="s">
        <v>248</v>
      </c>
      <c r="N13" s="85" t="s">
        <v>249</v>
      </c>
      <c r="O13" s="86"/>
      <c r="P13" s="85" t="s">
        <v>250</v>
      </c>
    </row>
    <row r="14" ht="19.5" customHeight="1">
      <c r="A14" s="87" t="s">
        <v>43</v>
      </c>
      <c r="B14" s="87" t="s">
        <v>44</v>
      </c>
      <c r="C14" s="88"/>
      <c r="D14" s="87" t="s">
        <v>236</v>
      </c>
      <c r="E14" s="88"/>
      <c r="F14" s="88"/>
      <c r="G14" s="87" t="s">
        <v>206</v>
      </c>
      <c r="H14" s="88"/>
      <c r="I14" s="88"/>
      <c r="J14" s="88"/>
      <c r="K14" s="87" t="s">
        <v>251</v>
      </c>
      <c r="L14" s="87" t="s">
        <v>209</v>
      </c>
      <c r="M14" s="87" t="s">
        <v>252</v>
      </c>
      <c r="N14" s="87" t="s">
        <v>253</v>
      </c>
      <c r="O14" s="88"/>
      <c r="P14" s="87" t="s">
        <v>254</v>
      </c>
    </row>
    <row r="15" ht="19.5" customHeight="1">
      <c r="A15" s="85" t="s">
        <v>116</v>
      </c>
      <c r="B15" s="85" t="s">
        <v>117</v>
      </c>
      <c r="C15" s="86"/>
      <c r="D15" s="85" t="s">
        <v>205</v>
      </c>
      <c r="E15" s="86"/>
      <c r="F15" s="86"/>
      <c r="G15" s="85" t="s">
        <v>206</v>
      </c>
      <c r="H15" s="86"/>
      <c r="I15" s="85" t="s">
        <v>255</v>
      </c>
      <c r="J15" s="85" t="s">
        <v>256</v>
      </c>
      <c r="K15" s="85" t="s">
        <v>257</v>
      </c>
      <c r="L15" s="85" t="s">
        <v>209</v>
      </c>
      <c r="M15" s="85" t="s">
        <v>258</v>
      </c>
      <c r="N15" s="85" t="s">
        <v>259</v>
      </c>
      <c r="O15" s="86"/>
      <c r="P15" s="85" t="s">
        <v>260</v>
      </c>
    </row>
    <row r="16" ht="19.5" customHeight="1">
      <c r="A16" s="87" t="s">
        <v>261</v>
      </c>
      <c r="B16" s="87" t="s">
        <v>262</v>
      </c>
      <c r="C16" s="88"/>
      <c r="D16" s="87" t="s">
        <v>205</v>
      </c>
      <c r="E16" s="88"/>
      <c r="F16" s="88"/>
      <c r="G16" s="87" t="s">
        <v>206</v>
      </c>
      <c r="H16" s="88"/>
      <c r="I16" s="87" t="s">
        <v>263</v>
      </c>
      <c r="J16" s="87" t="s">
        <v>241</v>
      </c>
      <c r="K16" s="88"/>
      <c r="L16" s="87" t="s">
        <v>230</v>
      </c>
      <c r="M16" s="87" t="s">
        <v>264</v>
      </c>
      <c r="N16" s="87" t="s">
        <v>265</v>
      </c>
      <c r="O16" s="88"/>
      <c r="P16" s="87" t="s">
        <v>266</v>
      </c>
    </row>
    <row r="17" ht="19.5" customHeight="1">
      <c r="A17" s="85" t="s">
        <v>100</v>
      </c>
      <c r="B17" s="85" t="s">
        <v>101</v>
      </c>
      <c r="C17" s="85">
        <v>10.0</v>
      </c>
      <c r="D17" s="85" t="s">
        <v>205</v>
      </c>
      <c r="E17" s="85" t="s">
        <v>267</v>
      </c>
      <c r="F17" s="85" t="s">
        <v>268</v>
      </c>
      <c r="G17" s="85" t="s">
        <v>206</v>
      </c>
      <c r="H17" s="86"/>
      <c r="I17" s="85" t="s">
        <v>269</v>
      </c>
      <c r="J17" s="85" t="s">
        <v>270</v>
      </c>
      <c r="K17" s="85" t="s">
        <v>271</v>
      </c>
      <c r="L17" s="85" t="s">
        <v>230</v>
      </c>
      <c r="M17" s="85" t="s">
        <v>272</v>
      </c>
      <c r="N17" s="85" t="s">
        <v>273</v>
      </c>
      <c r="O17" s="86"/>
      <c r="P17" s="85" t="s">
        <v>274</v>
      </c>
    </row>
    <row r="18" ht="19.5" customHeight="1">
      <c r="A18" s="87" t="s">
        <v>35</v>
      </c>
      <c r="B18" s="87" t="s">
        <v>36</v>
      </c>
      <c r="C18" s="87">
        <v>2.0</v>
      </c>
      <c r="D18" s="87" t="s">
        <v>236</v>
      </c>
      <c r="E18" s="88"/>
      <c r="F18" s="88"/>
      <c r="G18" s="87" t="s">
        <v>206</v>
      </c>
      <c r="H18" s="88"/>
      <c r="I18" s="87" t="s">
        <v>275</v>
      </c>
      <c r="J18" s="87" t="s">
        <v>241</v>
      </c>
      <c r="K18" s="88"/>
      <c r="L18" s="87" t="s">
        <v>209</v>
      </c>
      <c r="M18" s="87" t="s">
        <v>276</v>
      </c>
      <c r="N18" s="87" t="s">
        <v>277</v>
      </c>
      <c r="O18" s="88"/>
      <c r="P18" s="87" t="s">
        <v>278</v>
      </c>
    </row>
    <row r="19" ht="19.5" customHeight="1">
      <c r="A19" s="85" t="s">
        <v>127</v>
      </c>
      <c r="B19" s="85" t="s">
        <v>128</v>
      </c>
      <c r="C19" s="85">
        <v>14.0</v>
      </c>
      <c r="D19" s="85" t="s">
        <v>236</v>
      </c>
      <c r="E19" s="85" t="s">
        <v>279</v>
      </c>
      <c r="F19" s="85" t="s">
        <v>280</v>
      </c>
      <c r="G19" s="85" t="s">
        <v>206</v>
      </c>
      <c r="H19" s="86"/>
      <c r="I19" s="85" t="s">
        <v>281</v>
      </c>
      <c r="J19" s="85" t="s">
        <v>214</v>
      </c>
      <c r="K19" s="85" t="s">
        <v>282</v>
      </c>
      <c r="L19" s="85" t="s">
        <v>230</v>
      </c>
      <c r="M19" s="85" t="s">
        <v>283</v>
      </c>
      <c r="N19" s="85" t="s">
        <v>284</v>
      </c>
      <c r="O19" s="85"/>
      <c r="P19" s="85" t="s">
        <v>285</v>
      </c>
    </row>
    <row r="20" ht="19.5" customHeight="1">
      <c r="A20" s="87" t="s">
        <v>129</v>
      </c>
      <c r="B20" s="87" t="s">
        <v>130</v>
      </c>
      <c r="C20" s="87">
        <v>14.0</v>
      </c>
      <c r="D20" s="87" t="s">
        <v>205</v>
      </c>
      <c r="E20" s="87" t="s">
        <v>286</v>
      </c>
      <c r="F20" s="87" t="s">
        <v>287</v>
      </c>
      <c r="G20" s="87" t="s">
        <v>206</v>
      </c>
      <c r="H20" s="88"/>
      <c r="I20" s="87" t="s">
        <v>288</v>
      </c>
      <c r="J20" s="87" t="s">
        <v>214</v>
      </c>
      <c r="K20" s="87" t="s">
        <v>289</v>
      </c>
      <c r="L20" s="87" t="s">
        <v>209</v>
      </c>
      <c r="M20" s="87" t="s">
        <v>290</v>
      </c>
      <c r="N20" s="87" t="s">
        <v>291</v>
      </c>
      <c r="O20" s="87"/>
      <c r="P20" s="87" t="s">
        <v>292</v>
      </c>
    </row>
    <row r="21" ht="19.5" customHeight="1">
      <c r="A21" s="85" t="s">
        <v>131</v>
      </c>
      <c r="B21" s="85" t="s">
        <v>132</v>
      </c>
      <c r="C21" s="85">
        <v>14.0</v>
      </c>
      <c r="D21" s="85" t="s">
        <v>236</v>
      </c>
      <c r="E21" s="85" t="s">
        <v>293</v>
      </c>
      <c r="F21" s="85" t="s">
        <v>294</v>
      </c>
      <c r="G21" s="85" t="s">
        <v>206</v>
      </c>
      <c r="H21" s="86"/>
      <c r="I21" s="85" t="s">
        <v>295</v>
      </c>
      <c r="J21" s="85" t="s">
        <v>214</v>
      </c>
      <c r="K21" s="85" t="s">
        <v>296</v>
      </c>
      <c r="L21" s="85" t="s">
        <v>297</v>
      </c>
      <c r="M21" s="87" t="s">
        <v>276</v>
      </c>
      <c r="N21" s="85" t="s">
        <v>298</v>
      </c>
      <c r="O21" s="85"/>
      <c r="P21" s="85" t="s">
        <v>299</v>
      </c>
    </row>
    <row r="22" ht="19.5" customHeight="1">
      <c r="A22" s="87" t="s">
        <v>121</v>
      </c>
      <c r="B22" s="87" t="s">
        <v>122</v>
      </c>
      <c r="C22" s="87">
        <v>13.0</v>
      </c>
      <c r="D22" s="87" t="s">
        <v>205</v>
      </c>
      <c r="E22" s="88"/>
      <c r="F22" s="88"/>
      <c r="G22" s="87" t="s">
        <v>206</v>
      </c>
      <c r="H22" s="88"/>
      <c r="I22" s="87" t="s">
        <v>300</v>
      </c>
      <c r="J22" s="88"/>
      <c r="K22" s="87" t="s">
        <v>301</v>
      </c>
      <c r="L22" s="87" t="s">
        <v>230</v>
      </c>
      <c r="M22" s="87" t="s">
        <v>302</v>
      </c>
      <c r="N22" s="88"/>
      <c r="O22" s="88"/>
      <c r="P22" s="87" t="s">
        <v>303</v>
      </c>
    </row>
    <row r="23" ht="19.5" customHeight="1">
      <c r="A23" s="85" t="s">
        <v>85</v>
      </c>
      <c r="B23" s="85" t="s">
        <v>86</v>
      </c>
      <c r="C23" s="86"/>
      <c r="D23" s="85" t="s">
        <v>205</v>
      </c>
      <c r="E23" s="86"/>
      <c r="F23" s="85" t="s">
        <v>304</v>
      </c>
      <c r="G23" s="85" t="s">
        <v>206</v>
      </c>
      <c r="H23" s="86"/>
      <c r="I23" s="86"/>
      <c r="J23" s="86"/>
      <c r="K23" s="86"/>
      <c r="L23" s="85" t="s">
        <v>230</v>
      </c>
      <c r="M23" s="85" t="s">
        <v>305</v>
      </c>
      <c r="N23" s="85" t="s">
        <v>306</v>
      </c>
      <c r="O23" s="86"/>
      <c r="P23" s="85" t="s">
        <v>307</v>
      </c>
    </row>
    <row r="24" ht="19.5" customHeight="1">
      <c r="A24" s="87" t="s">
        <v>66</v>
      </c>
      <c r="B24" s="87" t="s">
        <v>67</v>
      </c>
      <c r="C24" s="88"/>
      <c r="D24" s="87" t="s">
        <v>205</v>
      </c>
      <c r="E24" s="88"/>
      <c r="F24" s="88"/>
      <c r="G24" s="87" t="s">
        <v>206</v>
      </c>
      <c r="H24" s="88"/>
      <c r="I24" s="87" t="s">
        <v>308</v>
      </c>
      <c r="J24" s="88"/>
      <c r="K24" s="87" t="s">
        <v>309</v>
      </c>
      <c r="L24" s="87" t="s">
        <v>226</v>
      </c>
      <c r="M24" s="87" t="s">
        <v>222</v>
      </c>
      <c r="N24" s="87" t="s">
        <v>310</v>
      </c>
      <c r="O24" s="88"/>
      <c r="P24" s="87" t="s">
        <v>311</v>
      </c>
    </row>
    <row r="25" ht="19.5" customHeight="1">
      <c r="A25" s="85" t="s">
        <v>83</v>
      </c>
      <c r="B25" s="85" t="s">
        <v>84</v>
      </c>
      <c r="C25" s="86"/>
      <c r="D25" s="85" t="s">
        <v>205</v>
      </c>
      <c r="E25" s="86"/>
      <c r="F25" s="85" t="s">
        <v>312</v>
      </c>
      <c r="G25" s="85" t="s">
        <v>206</v>
      </c>
      <c r="H25" s="86"/>
      <c r="I25" s="86"/>
      <c r="J25" s="86"/>
      <c r="K25" s="86"/>
      <c r="L25" s="85" t="s">
        <v>230</v>
      </c>
      <c r="M25" s="85" t="s">
        <v>313</v>
      </c>
      <c r="N25" s="85" t="s">
        <v>314</v>
      </c>
      <c r="O25" s="86"/>
      <c r="P25" s="85" t="s">
        <v>315</v>
      </c>
    </row>
    <row r="26" ht="19.5" customHeight="1">
      <c r="A26" s="87" t="s">
        <v>77</v>
      </c>
      <c r="B26" s="87" t="s">
        <v>78</v>
      </c>
      <c r="C26" s="88"/>
      <c r="D26" s="87" t="s">
        <v>205</v>
      </c>
      <c r="E26" s="88"/>
      <c r="F26" s="88"/>
      <c r="G26" s="87" t="s">
        <v>206</v>
      </c>
      <c r="H26" s="88"/>
      <c r="I26" s="87" t="s">
        <v>316</v>
      </c>
      <c r="J26" s="87" t="s">
        <v>270</v>
      </c>
      <c r="K26" s="88"/>
      <c r="L26" s="87" t="s">
        <v>209</v>
      </c>
      <c r="M26" s="87" t="s">
        <v>317</v>
      </c>
      <c r="N26" s="88"/>
      <c r="O26" s="88"/>
      <c r="P26" s="87" t="s">
        <v>318</v>
      </c>
    </row>
    <row r="27" ht="19.5" customHeight="1">
      <c r="A27" s="85" t="s">
        <v>33</v>
      </c>
      <c r="B27" s="85" t="s">
        <v>34</v>
      </c>
      <c r="C27" s="86"/>
      <c r="D27" s="85" t="s">
        <v>205</v>
      </c>
      <c r="E27" s="86"/>
      <c r="F27" s="86"/>
      <c r="G27" s="85" t="s">
        <v>206</v>
      </c>
      <c r="H27" s="86"/>
      <c r="I27" s="85" t="s">
        <v>319</v>
      </c>
      <c r="J27" s="85" t="s">
        <v>241</v>
      </c>
      <c r="K27" s="85" t="s">
        <v>320</v>
      </c>
      <c r="L27" s="85" t="s">
        <v>230</v>
      </c>
      <c r="M27" s="85" t="s">
        <v>321</v>
      </c>
      <c r="N27" s="85" t="s">
        <v>322</v>
      </c>
      <c r="O27" s="86"/>
      <c r="P27" s="85" t="s">
        <v>323</v>
      </c>
    </row>
    <row r="28" ht="19.5" customHeight="1">
      <c r="A28" s="87" t="s">
        <v>98</v>
      </c>
      <c r="B28" s="85" t="s">
        <v>99</v>
      </c>
      <c r="C28" s="88"/>
      <c r="D28" s="87" t="s">
        <v>236</v>
      </c>
      <c r="E28" s="87" t="s">
        <v>324</v>
      </c>
      <c r="F28" s="87" t="s">
        <v>325</v>
      </c>
      <c r="G28" s="87" t="s">
        <v>206</v>
      </c>
      <c r="H28" s="88"/>
      <c r="I28" s="87" t="s">
        <v>326</v>
      </c>
      <c r="J28" s="87" t="s">
        <v>327</v>
      </c>
      <c r="K28" s="87" t="s">
        <v>328</v>
      </c>
      <c r="L28" s="87" t="s">
        <v>209</v>
      </c>
      <c r="M28" s="87" t="s">
        <v>313</v>
      </c>
      <c r="N28" s="87" t="s">
        <v>329</v>
      </c>
      <c r="O28" s="88"/>
      <c r="P28" s="85" t="s">
        <v>330</v>
      </c>
    </row>
    <row r="29" ht="19.5" customHeight="1">
      <c r="A29" s="85" t="s">
        <v>25</v>
      </c>
      <c r="B29" s="85" t="s">
        <v>26</v>
      </c>
      <c r="C29" s="86"/>
      <c r="D29" s="85" t="s">
        <v>236</v>
      </c>
      <c r="E29" s="86"/>
      <c r="F29" s="86"/>
      <c r="G29" s="85" t="s">
        <v>206</v>
      </c>
      <c r="H29" s="86"/>
      <c r="I29" s="85" t="s">
        <v>331</v>
      </c>
      <c r="J29" s="85" t="s">
        <v>241</v>
      </c>
      <c r="K29" s="85" t="s">
        <v>236</v>
      </c>
      <c r="L29" s="85" t="s">
        <v>209</v>
      </c>
      <c r="M29" s="85" t="s">
        <v>332</v>
      </c>
      <c r="N29" s="85" t="s">
        <v>333</v>
      </c>
      <c r="O29" s="86"/>
      <c r="P29" s="85" t="s">
        <v>334</v>
      </c>
    </row>
    <row r="30" ht="19.5" customHeight="1">
      <c r="A30" s="87" t="s">
        <v>23</v>
      </c>
      <c r="B30" s="87" t="s">
        <v>24</v>
      </c>
      <c r="C30" s="88"/>
      <c r="D30" s="87" t="s">
        <v>205</v>
      </c>
      <c r="E30" s="88"/>
      <c r="F30" s="87" t="s">
        <v>335</v>
      </c>
      <c r="G30" s="87" t="s">
        <v>206</v>
      </c>
      <c r="H30" s="88"/>
      <c r="I30" s="87" t="s">
        <v>336</v>
      </c>
      <c r="J30" s="87" t="s">
        <v>337</v>
      </c>
      <c r="K30" s="87" t="s">
        <v>236</v>
      </c>
      <c r="L30" s="87" t="s">
        <v>209</v>
      </c>
      <c r="M30" s="87" t="s">
        <v>338</v>
      </c>
      <c r="N30" s="87" t="s">
        <v>339</v>
      </c>
      <c r="O30" s="88"/>
      <c r="P30" s="87" t="s">
        <v>340</v>
      </c>
    </row>
    <row r="31" ht="19.5" customHeight="1">
      <c r="A31" s="85" t="s">
        <v>53</v>
      </c>
      <c r="B31" s="85" t="s">
        <v>54</v>
      </c>
      <c r="C31" s="86"/>
      <c r="D31" s="85" t="s">
        <v>205</v>
      </c>
      <c r="E31" s="85" t="s">
        <v>341</v>
      </c>
      <c r="F31" s="85" t="s">
        <v>342</v>
      </c>
      <c r="G31" s="85" t="s">
        <v>206</v>
      </c>
      <c r="H31" s="86"/>
      <c r="I31" s="85" t="s">
        <v>343</v>
      </c>
      <c r="J31" s="86"/>
      <c r="K31" s="85" t="s">
        <v>344</v>
      </c>
      <c r="L31" s="85" t="s">
        <v>226</v>
      </c>
      <c r="M31" s="86"/>
      <c r="N31" s="85" t="s">
        <v>345</v>
      </c>
      <c r="O31" s="86"/>
      <c r="P31" s="85" t="s">
        <v>346</v>
      </c>
    </row>
    <row r="32" ht="19.5" customHeight="1">
      <c r="A32" s="87" t="s">
        <v>109</v>
      </c>
      <c r="B32" s="87" t="s">
        <v>110</v>
      </c>
      <c r="C32" s="88"/>
      <c r="D32" s="87" t="s">
        <v>205</v>
      </c>
      <c r="E32" s="88"/>
      <c r="F32" s="88"/>
      <c r="G32" s="88"/>
      <c r="H32" s="88"/>
      <c r="I32" s="88"/>
      <c r="J32" s="87" t="s">
        <v>270</v>
      </c>
      <c r="K32" s="88"/>
      <c r="L32" s="88"/>
      <c r="M32" s="88"/>
      <c r="N32" s="88"/>
      <c r="O32" s="88"/>
      <c r="P32" s="88"/>
    </row>
    <row r="33" ht="19.5" customHeight="1">
      <c r="A33" s="86"/>
      <c r="B33" s="86"/>
      <c r="C33" s="86"/>
      <c r="D33" s="86"/>
      <c r="E33" s="86"/>
      <c r="F33" s="86"/>
      <c r="G33" s="86"/>
      <c r="H33" s="86"/>
      <c r="I33" s="86"/>
      <c r="J33" s="86"/>
      <c r="K33" s="86"/>
      <c r="L33" s="86"/>
      <c r="M33" s="86"/>
      <c r="N33" s="86"/>
      <c r="O33" s="86"/>
      <c r="P33" s="86"/>
    </row>
    <row r="34" ht="19.5" customHeight="1">
      <c r="A34" s="88"/>
      <c r="B34" s="88"/>
      <c r="C34" s="88"/>
      <c r="D34" s="88"/>
      <c r="E34" s="88"/>
      <c r="F34" s="88"/>
      <c r="G34" s="88"/>
      <c r="H34" s="88"/>
      <c r="I34" s="88"/>
      <c r="J34" s="88"/>
      <c r="K34" s="88"/>
      <c r="L34" s="88"/>
      <c r="M34" s="88"/>
      <c r="N34" s="88"/>
      <c r="O34" s="88"/>
      <c r="P34" s="88"/>
    </row>
    <row r="35" ht="19.5" customHeight="1">
      <c r="A35" s="86"/>
      <c r="B35" s="86"/>
      <c r="C35" s="86"/>
      <c r="D35" s="86"/>
      <c r="E35" s="86"/>
      <c r="F35" s="86"/>
      <c r="G35" s="86"/>
      <c r="H35" s="86"/>
      <c r="I35" s="86"/>
      <c r="J35" s="86"/>
      <c r="K35" s="86"/>
      <c r="L35" s="86"/>
      <c r="M35" s="86"/>
      <c r="N35" s="86"/>
      <c r="O35" s="86"/>
      <c r="P35" s="86"/>
    </row>
    <row r="36" ht="19.5" customHeight="1">
      <c r="A36" s="88"/>
      <c r="B36" s="88"/>
      <c r="C36" s="88"/>
      <c r="D36" s="88"/>
      <c r="E36" s="88"/>
      <c r="F36" s="88"/>
      <c r="G36" s="88"/>
      <c r="H36" s="88"/>
      <c r="I36" s="88"/>
      <c r="J36" s="88"/>
      <c r="K36" s="88"/>
      <c r="L36" s="88"/>
      <c r="M36" s="88"/>
      <c r="N36" s="88"/>
      <c r="O36" s="88"/>
      <c r="P36" s="88"/>
    </row>
    <row r="37" ht="19.5" customHeight="1">
      <c r="A37" s="86"/>
      <c r="B37" s="86"/>
      <c r="C37" s="86"/>
      <c r="D37" s="86"/>
      <c r="E37" s="86"/>
      <c r="F37" s="86"/>
      <c r="G37" s="86"/>
      <c r="H37" s="86"/>
      <c r="I37" s="86"/>
      <c r="J37" s="86"/>
      <c r="K37" s="86"/>
      <c r="L37" s="86"/>
      <c r="M37" s="86"/>
      <c r="N37" s="86"/>
      <c r="O37" s="86"/>
      <c r="P37" s="86"/>
    </row>
    <row r="38" ht="19.5" customHeight="1">
      <c r="A38" s="88"/>
      <c r="B38" s="88"/>
      <c r="C38" s="88"/>
      <c r="D38" s="88"/>
      <c r="E38" s="88"/>
      <c r="F38" s="88"/>
      <c r="G38" s="88"/>
      <c r="H38" s="88"/>
      <c r="I38" s="88"/>
      <c r="J38" s="88"/>
      <c r="K38" s="88"/>
      <c r="L38" s="88"/>
      <c r="M38" s="88"/>
      <c r="N38" s="88"/>
      <c r="O38" s="88"/>
      <c r="P38" s="88"/>
    </row>
    <row r="39" ht="19.5" customHeight="1">
      <c r="A39" s="86"/>
      <c r="B39" s="86"/>
      <c r="C39" s="86"/>
      <c r="D39" s="86"/>
      <c r="E39" s="86"/>
      <c r="F39" s="86"/>
      <c r="G39" s="86"/>
      <c r="H39" s="86"/>
      <c r="I39" s="86"/>
      <c r="J39" s="86"/>
      <c r="K39" s="86"/>
      <c r="L39" s="86"/>
      <c r="M39" s="86"/>
      <c r="N39" s="86"/>
      <c r="O39" s="86"/>
      <c r="P39" s="86"/>
    </row>
    <row r="40" ht="19.5" customHeight="1">
      <c r="A40" s="88"/>
      <c r="B40" s="88"/>
      <c r="C40" s="88"/>
      <c r="D40" s="88"/>
      <c r="E40" s="88"/>
      <c r="F40" s="88"/>
      <c r="G40" s="88"/>
      <c r="H40" s="88"/>
      <c r="I40" s="88"/>
      <c r="J40" s="88"/>
      <c r="K40" s="88"/>
      <c r="L40" s="88"/>
      <c r="M40" s="88"/>
      <c r="N40" s="88"/>
      <c r="O40" s="88"/>
      <c r="P40" s="88"/>
    </row>
    <row r="41" ht="19.5" customHeight="1">
      <c r="A41" s="86"/>
      <c r="B41" s="86"/>
      <c r="C41" s="86"/>
      <c r="D41" s="86"/>
      <c r="E41" s="86"/>
      <c r="F41" s="86"/>
      <c r="G41" s="86"/>
      <c r="H41" s="86"/>
      <c r="I41" s="86"/>
      <c r="J41" s="86"/>
      <c r="K41" s="86"/>
      <c r="L41" s="86"/>
      <c r="M41" s="86"/>
      <c r="N41" s="86"/>
      <c r="O41" s="86"/>
      <c r="P41" s="86"/>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P1"/>
    <mergeCell ref="A2:P2"/>
    <mergeCell ref="A3:C3"/>
    <mergeCell ref="D3:G3"/>
    <mergeCell ref="H3:K3"/>
    <mergeCell ref="L3:N3"/>
    <mergeCell ref="O3:P3"/>
  </mergeCells>
  <conditionalFormatting sqref="D5:D41">
    <cfRule type="expression" dxfId="2" priority="1">
      <formula>$D5="Bee"</formula>
    </cfRule>
  </conditionalFormatting>
  <conditionalFormatting sqref="D5:D41">
    <cfRule type="expression" dxfId="3" priority="2">
      <formula>$D5="Ant"</formula>
    </cfRule>
  </conditionalFormatting>
  <conditionalFormatting sqref="D5:D41">
    <cfRule type="expression" dxfId="4" priority="3">
      <formula>$D5="Butterfly"</formula>
    </cfRule>
  </conditionalFormatting>
  <conditionalFormatting sqref="D5:D41">
    <cfRule type="expression" dxfId="5" priority="4">
      <formula>$D5="Capybara"</formula>
    </cfRule>
  </conditionalFormatting>
  <conditionalFormatting sqref="D5:D41">
    <cfRule type="expression" dxfId="6" priority="5">
      <formula>$D5="Leech"</formula>
    </cfRule>
  </conditionalFormatting>
  <dataValidations>
    <dataValidation type="list" allowBlank="1" sqref="D5:D41">
      <formula1>"Bee,Ant,Butterfly,Capybara,Leech,Not done yet"</formula1>
    </dataValidation>
    <dataValidation type="list" allowBlank="1" sqref="L5:L41">
      <formula1>"Happy,Sad,Angry,Fearful,Disgusted,Surprised,Neutral,Not done yet"</formula1>
    </dataValidation>
    <dataValidation type="list" allowBlank="1" sqref="O5:O41">
      <formula1>"Creator,Connector,Contributor,Commentator,Not done yet"</formula1>
    </dataValidation>
    <dataValidation type="list" allowBlank="1" sqref="H5:H41">
      <formula1>"Star,Supporter,Observer,Loner,Not done yet"</formula1>
    </dataValidation>
    <dataValidation type="list" allowBlank="1" sqref="G5:G41">
      <formula1>"Done,Not done yet"</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34.0"/>
    <col customWidth="1" min="3" max="3" width="26.0"/>
    <col customWidth="1" min="4" max="4" width="36.0"/>
    <col customWidth="1" min="5" max="5" width="30.0"/>
    <col customWidth="1" min="6" max="6" width="32.0"/>
    <col customWidth="1" min="7" max="26" width="8.86"/>
  </cols>
  <sheetData>
    <row r="1" ht="24.0" customHeight="1">
      <c r="A1" s="45" t="s">
        <v>347</v>
      </c>
      <c r="B1" s="2"/>
      <c r="C1" s="2"/>
      <c r="D1" s="2"/>
      <c r="E1" s="2"/>
      <c r="F1" s="3"/>
    </row>
    <row r="2" ht="24.0" customHeight="1">
      <c r="A2" s="89" t="s">
        <v>147</v>
      </c>
      <c r="B2" s="89" t="s">
        <v>348</v>
      </c>
      <c r="C2" s="89" t="s">
        <v>349</v>
      </c>
      <c r="D2" s="89" t="s">
        <v>350</v>
      </c>
      <c r="E2" s="89" t="s">
        <v>351</v>
      </c>
      <c r="F2" s="89" t="s">
        <v>352</v>
      </c>
    </row>
    <row r="3" ht="99.75" customHeight="1">
      <c r="A3" s="90" t="s">
        <v>353</v>
      </c>
      <c r="B3" s="91" t="s">
        <v>354</v>
      </c>
      <c r="C3" s="92" t="s">
        <v>355</v>
      </c>
      <c r="D3" s="93" t="s">
        <v>356</v>
      </c>
      <c r="E3" s="94" t="s">
        <v>357</v>
      </c>
      <c r="F3" s="95" t="s">
        <v>358</v>
      </c>
    </row>
    <row r="4" ht="99.75" customHeight="1">
      <c r="A4" s="90" t="s">
        <v>359</v>
      </c>
      <c r="B4" s="91" t="s">
        <v>360</v>
      </c>
      <c r="C4" s="92" t="s">
        <v>361</v>
      </c>
      <c r="D4" s="96" t="s">
        <v>362</v>
      </c>
      <c r="E4" s="94" t="s">
        <v>363</v>
      </c>
      <c r="F4" s="95" t="s">
        <v>364</v>
      </c>
    </row>
    <row r="5" ht="99.75" customHeight="1">
      <c r="A5" s="90" t="s">
        <v>365</v>
      </c>
      <c r="B5" s="91" t="s">
        <v>366</v>
      </c>
      <c r="C5" s="92" t="s">
        <v>367</v>
      </c>
      <c r="D5" s="93" t="s">
        <v>368</v>
      </c>
      <c r="E5" s="94" t="s">
        <v>369</v>
      </c>
      <c r="F5" s="95" t="s">
        <v>370</v>
      </c>
    </row>
    <row r="6" ht="99.75" customHeight="1">
      <c r="A6" s="90" t="s">
        <v>371</v>
      </c>
      <c r="B6" s="91" t="s">
        <v>372</v>
      </c>
      <c r="C6" s="92" t="s">
        <v>373</v>
      </c>
      <c r="D6" s="93" t="s">
        <v>374</v>
      </c>
      <c r="E6" s="94" t="s">
        <v>375</v>
      </c>
      <c r="F6" s="95" t="s">
        <v>376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hyperlinks>
    <hyperlink r:id="rId1" ref="D4"/>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2026-03-04T14:06:53Z</dcterms:created>
  <dc:creator>openpyxl</dc:creator>
</cp:coreProperties>
</file>